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00000000-0000-0000-0000-000000000000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https://d.docs.live.net/e7b6ed13d2b461a1/Documents/"/>
    </mc:Choice>
  </mc:AlternateContent>
  <xr:revisionPtr revIDLastSave="0" documentId="8_{888577D5-ADF6-7542-B270-6CDAB181AEFC}" xr6:coauthVersionLast="47" xr6:coauthVersionMax="47" xr10:uidLastSave="{00000000-0000-0000-0000-000000000000}"/>
  <bookViews>
    <workbookView xWindow="-108" yWindow="-108" windowWidth="23256" windowHeight="12576" tabRatio="747" xr2:uid="{00000000-000D-0000-FFFF-FFFF00000000}"/>
  </bookViews>
  <sheets>
    <sheet name="Formulär" sheetId="14" r:id="rId1"/>
  </sheets>
  <externalReferences>
    <externalReference r:id="rId2"/>
    <externalReference r:id="rId3"/>
  </externalReferences>
  <definedNames>
    <definedName name="A1_against" localSheetId="0">#REF!,#REF!,#REF!</definedName>
    <definedName name="A1_against">#REF!,#REF!,#REF!</definedName>
    <definedName name="A1_Pld" localSheetId="0">#REF!,#REF!,#REF!</definedName>
    <definedName name="A1_Pld">#REF!,#REF!,#REF!</definedName>
    <definedName name="A2_against" localSheetId="0">#REF!,#REF!,#REF!</definedName>
    <definedName name="A2_against">#REF!,#REF!,#REF!</definedName>
    <definedName name="A2_Pld" localSheetId="0">#REF!,#REF!,#REF!</definedName>
    <definedName name="A2_Pld">#REF!,#REF!,#REF!</definedName>
    <definedName name="A3_against" localSheetId="0">#REF!,#REF!,#REF!</definedName>
    <definedName name="A3_against">#REF!,#REF!,#REF!</definedName>
    <definedName name="A3_Pld" localSheetId="0">#REF!,#REF!,#REF!</definedName>
    <definedName name="A3_Pld">#REF!,#REF!,#REF!</definedName>
    <definedName name="A4_against" localSheetId="0">#REF!,#REF!,#REF!</definedName>
    <definedName name="A4_against">#REF!,#REF!,#REF!</definedName>
    <definedName name="A4_Pld" localSheetId="0">#REF!,#REF!,#REF!</definedName>
    <definedName name="A4_Pld">#REF!,#REF!,#REF!</definedName>
    <definedName name="B1_against" localSheetId="0">#REF!,#REF!,#REF!</definedName>
    <definedName name="B1_against">#REF!,#REF!,#REF!</definedName>
    <definedName name="B1_Pld" localSheetId="0">#REF!,#REF!,#REF!</definedName>
    <definedName name="B1_Pld">#REF!,#REF!,#REF!</definedName>
    <definedName name="B2_against" localSheetId="0">#REF!,#REF!,#REF!</definedName>
    <definedName name="B2_against">#REF!,#REF!,#REF!</definedName>
    <definedName name="B2_Pld" localSheetId="0">#REF!,#REF!,#REF!</definedName>
    <definedName name="B2_Pld">#REF!,#REF!,#REF!</definedName>
    <definedName name="B3_against" localSheetId="0">#REF!,#REF!,#REF!</definedName>
    <definedName name="B3_against">#REF!,#REF!,#REF!</definedName>
    <definedName name="B3_Pld" localSheetId="0">#REF!,#REF!,#REF!</definedName>
    <definedName name="B3_Pld">#REF!,#REF!,#REF!</definedName>
    <definedName name="B4_against" localSheetId="0">#REF!,#REF!,#REF!</definedName>
    <definedName name="B4_against">#REF!,#REF!,#REF!</definedName>
    <definedName name="B4_Pld" localSheetId="0">#REF!,#REF!,#REF!</definedName>
    <definedName name="B4_Pld">#REF!,#REF!,#REF!</definedName>
    <definedName name="C_1_against" localSheetId="0">#REF!,#REF!,#REF!</definedName>
    <definedName name="C_1_against">#REF!,#REF!,#REF!</definedName>
    <definedName name="C_1_Pld" localSheetId="0">#REF!,#REF!,#REF!</definedName>
    <definedName name="C_1_Pld">#REF!,#REF!,#REF!</definedName>
    <definedName name="C_2_against" localSheetId="0">#REF!,#REF!,#REF!</definedName>
    <definedName name="C_2_against">#REF!,#REF!,#REF!</definedName>
    <definedName name="C_2_Pld" localSheetId="0">#REF!,#REF!,#REF!</definedName>
    <definedName name="C_2_Pld">#REF!,#REF!,#REF!</definedName>
    <definedName name="C_3_against" localSheetId="0">#REF!,#REF!,#REF!</definedName>
    <definedName name="C_3_against">#REF!,#REF!,#REF!</definedName>
    <definedName name="C_3_Pld" localSheetId="0">#REF!,#REF!,#REF!</definedName>
    <definedName name="C_3_Pld">#REF!,#REF!,#REF!</definedName>
    <definedName name="C_4_against" localSheetId="0">#REF!,#REF!,#REF!</definedName>
    <definedName name="C_4_against">#REF!,#REF!,#REF!</definedName>
    <definedName name="C_4_Pld" localSheetId="0">#REF!,#REF!,#REF!</definedName>
    <definedName name="C_4_Pld">#REF!,#REF!,#REF!</definedName>
    <definedName name="CC4_Pld" localSheetId="0">#REF!,#REF!,#REF!</definedName>
    <definedName name="CC4_Pld">#REF!,#REF!,#REF!</definedName>
    <definedName name="D1_against" localSheetId="0">#REF!,#REF!,#REF!</definedName>
    <definedName name="D1_against">#REF!,#REF!,#REF!</definedName>
    <definedName name="D1_Pld" localSheetId="0">#REF!,#REF!,#REF!</definedName>
    <definedName name="D1_Pld">#REF!,#REF!,#REF!</definedName>
    <definedName name="D2_against" localSheetId="0">#REF!,#REF!,#REF!</definedName>
    <definedName name="D2_against">#REF!,#REF!,#REF!</definedName>
    <definedName name="D2_Pld" localSheetId="0">#REF!,#REF!,#REF!</definedName>
    <definedName name="D2_Pld">#REF!,#REF!,#REF!</definedName>
    <definedName name="D3_against" localSheetId="0">#REF!,#REF!,#REF!</definedName>
    <definedName name="D3_against">#REF!,#REF!,#REF!</definedName>
    <definedName name="D3_Pld" localSheetId="0">#REF!,#REF!,#REF!</definedName>
    <definedName name="D3_Pld">#REF!,#REF!,#REF!</definedName>
    <definedName name="D4_against" localSheetId="0">#REF!,#REF!,#REF!</definedName>
    <definedName name="D4_against">#REF!,#REF!,#REF!</definedName>
    <definedName name="D4_Pld" localSheetId="0">#REF!,#REF!,#REF!</definedName>
    <definedName name="D4_Pld">#REF!,#REF!,#REF!</definedName>
    <definedName name="MA_A1_against" localSheetId="0">[1]General_MA!$J$3,[1]General_MA!$I$12,[1]General_MA!$I$20</definedName>
    <definedName name="MA_A1_against">[2]General_MA!$J$3,[2]General_MA!$I$12,[2]General_MA!$I$20</definedName>
    <definedName name="MA_A1_Pld" localSheetId="0">[1]General_MA!$I$3,[1]General_MA!$J$12,[1]General_MA!$J$20</definedName>
    <definedName name="MA_A1_Pld">[2]General_MA!$I$3,[2]General_MA!$J$12,[2]General_MA!$J$20</definedName>
    <definedName name="MA_A2_against" localSheetId="0">[1]General_MA!$I$3,[1]General_MA!$J$11,[1]General_MA!$I$19</definedName>
    <definedName name="MA_A2_against">[2]General_MA!$I$3,[2]General_MA!$J$11,[2]General_MA!$I$19</definedName>
    <definedName name="MA_A2_Pld" localSheetId="0">[1]General_MA!$J$3,[1]General_MA!$I$11,[1]General_MA!$J$19</definedName>
    <definedName name="MA_A2_Pld">[2]General_MA!$J$3,[2]General_MA!$I$11,[2]General_MA!$J$19</definedName>
    <definedName name="MA_A3_against" localSheetId="0">[1]General_MA!$J$4,[1]General_MA!$I$11,[1]General_MA!$J$20</definedName>
    <definedName name="MA_A3_against">[2]General_MA!$J$4,[2]General_MA!$I$11,[2]General_MA!$J$20</definedName>
    <definedName name="MA_A3_Pld" localSheetId="0">[1]General_MA!$I$4,[1]General_MA!$J$11,[1]General_MA!$I$20</definedName>
    <definedName name="MA_A3_Pld">[2]General_MA!$I$4,[2]General_MA!$J$11,[2]General_MA!$I$20</definedName>
    <definedName name="MA_A4_against" localSheetId="0">[1]General_MA!$I$4,[1]General_MA!$J$12,[1]General_MA!$J$19</definedName>
    <definedName name="MA_A4_against">[2]General_MA!$I$4,[2]General_MA!$J$12,[2]General_MA!$J$19</definedName>
    <definedName name="MA_A4_Pld" localSheetId="0">[1]General_MA!$I$12,[1]General_MA!$J$4,[1]General_MA!$I$19</definedName>
    <definedName name="MA_A4_Pld">[2]General_MA!$I$12,[2]General_MA!$J$4,[2]General_MA!$I$19</definedName>
    <definedName name="MA_B1_against" localSheetId="0">[1]General_MA!$J$6,[1]General_MA!$I$14,[1]General_MA!$I$22</definedName>
    <definedName name="MA_B1_against">[2]General_MA!$J$6,[2]General_MA!$I$14,[2]General_MA!$I$22</definedName>
    <definedName name="MA_B1_Pld" localSheetId="0">[1]General_MA!$I$6,[1]General_MA!$J$14,[1]General_MA!$J$22</definedName>
    <definedName name="MA_B1_Pld">[2]General_MA!$I$6,[2]General_MA!$J$14,[2]General_MA!$J$22</definedName>
    <definedName name="MA_B2_against" localSheetId="0">[1]General_MA!$I$6,[1]General_MA!$J$13,[1]General_MA!$I$21</definedName>
    <definedName name="MA_B2_against">[2]General_MA!$I$6,[2]General_MA!$J$13,[2]General_MA!$I$21</definedName>
    <definedName name="MA_B2_Pld" localSheetId="0">[1]General_MA!$J$6,[1]General_MA!$I$13,[1]General_MA!$J$21</definedName>
    <definedName name="MA_B2_Pld">[2]General_MA!$J$6,[2]General_MA!$I$13,[2]General_MA!$J$21</definedName>
    <definedName name="MA_B3_against" localSheetId="0">[1]General_MA!$J$5,[1]General_MA!$I$13,[1]General_MA!$J$22</definedName>
    <definedName name="MA_B3_against">[2]General_MA!$J$5,[2]General_MA!$I$13,[2]General_MA!$J$22</definedName>
    <definedName name="MA_B3_Pld" localSheetId="0">[1]General_MA!$I$5,[1]General_MA!$J$13,[1]General_MA!$I$22</definedName>
    <definedName name="MA_B3_Pld">[2]General_MA!$I$5,[2]General_MA!$J$13,[2]General_MA!$I$22</definedName>
    <definedName name="MA_B4_against" localSheetId="0">[1]General_MA!$I$5,[1]General_MA!$J$14,[1]General_MA!$J$21</definedName>
    <definedName name="MA_B4_against">[2]General_MA!$I$5,[2]General_MA!$J$14,[2]General_MA!$J$21</definedName>
    <definedName name="MA_B4_Pld" localSheetId="0">[1]General_MA!$J$5,[1]General_MA!$I$14,[1]General_MA!$I$21</definedName>
    <definedName name="MA_B4_Pld">[2]General_MA!$J$5,[2]General_MA!$I$14,[2]General_MA!$I$21</definedName>
    <definedName name="MA_C_1_against" localSheetId="0">[1]General_MA!$J$8,[1]General_MA!$I$16,[1]General_MA!$I$24</definedName>
    <definedName name="MA_C_1_against">[2]General_MA!$J$8,[2]General_MA!$I$16,[2]General_MA!$I$24</definedName>
    <definedName name="MA_C_1_Pld" localSheetId="0">[1]General_MA!$I$8,[1]General_MA!$J$16,[1]General_MA!$J$24</definedName>
    <definedName name="MA_C_1_Pld">[2]General_MA!$I$8,[2]General_MA!$J$16,[2]General_MA!$J$24</definedName>
    <definedName name="MA_C_2_against" localSheetId="0">[1]General_MA!$I$8,[1]General_MA!$J$15,[1]General_MA!$I$23</definedName>
    <definedName name="MA_C_2_against">[2]General_MA!$I$8,[2]General_MA!$J$15,[2]General_MA!$I$23</definedName>
    <definedName name="MA_C_2_Pld" localSheetId="0">[1]General_MA!$J$8,[1]General_MA!$I$15,[1]General_MA!$J$23</definedName>
    <definedName name="MA_C_2_Pld">[2]General_MA!$J$8,[2]General_MA!$I$15,[2]General_MA!$J$23</definedName>
    <definedName name="MA_C_3_against" localSheetId="0">[1]General_MA!$J$7,[1]General_MA!$I$15,[1]General_MA!$J$24</definedName>
    <definedName name="MA_C_3_against">[2]General_MA!$J$7,[2]General_MA!$I$15,[2]General_MA!$J$24</definedName>
    <definedName name="MA_C_3_Pld" localSheetId="0">[1]General_MA!$I$7,[1]General_MA!$J$15,[1]General_MA!$I$24</definedName>
    <definedName name="MA_C_3_Pld">[2]General_MA!$I$7,[2]General_MA!$J$15,[2]General_MA!$I$24</definedName>
    <definedName name="MA_C_4_against" localSheetId="0">[1]General_MA!$I$7,[1]General_MA!$J$16,[1]General_MA!$J$23</definedName>
    <definedName name="MA_C_4_against">[2]General_MA!$I$7,[2]General_MA!$J$16,[2]General_MA!$J$23</definedName>
    <definedName name="MA_C_4_Pld" localSheetId="0">[1]General_MA!$J$7,[1]General_MA!$I$16,[1]General_MA!$I$23</definedName>
    <definedName name="MA_C_4_Pld">[2]General_MA!$J$7,[2]General_MA!$I$16,[2]General_MA!$I$23</definedName>
    <definedName name="MA_D1_against" localSheetId="0">[1]General_MA!$J$9,[1]General_MA!$I$18,[1]General_MA!$I$26</definedName>
    <definedName name="MA_D1_against">[2]General_MA!$J$9,[2]General_MA!$I$18,[2]General_MA!$I$26</definedName>
    <definedName name="MA_D1_Pld" localSheetId="0">[1]General_MA!$I$9,[1]General_MA!$J$18,[1]General_MA!$J$26</definedName>
    <definedName name="MA_D1_Pld">[2]General_MA!$I$9,[2]General_MA!$J$18,[2]General_MA!$J$26</definedName>
    <definedName name="MA_D2_against" localSheetId="0">[1]General_MA!$I$9,[1]General_MA!$J$17,[1]General_MA!$I$25</definedName>
    <definedName name="MA_D2_against">[2]General_MA!$I$9,[2]General_MA!$J$17,[2]General_MA!$I$25</definedName>
    <definedName name="MA_D2_Pld" localSheetId="0">[1]General_MA!$J$9,[1]General_MA!$I$17,[1]General_MA!$J$25</definedName>
    <definedName name="MA_D2_Pld">[2]General_MA!$J$9,[2]General_MA!$I$17,[2]General_MA!$J$25</definedName>
    <definedName name="MA_D3_against" localSheetId="0">[1]General_MA!$J$10,[1]General_MA!$I$17,[1]General_MA!$J$26</definedName>
    <definedName name="MA_D3_against">[2]General_MA!$J$10,[2]General_MA!$I$17,[2]General_MA!$J$26</definedName>
    <definedName name="MA_D3_Pld" localSheetId="0">[1]General_MA!$I$10,[1]General_MA!$J$17,[1]General_MA!$I$26</definedName>
    <definedName name="MA_D3_Pld">[2]General_MA!$I$10,[2]General_MA!$J$17,[2]General_MA!$I$26</definedName>
    <definedName name="MA_D4_against" localSheetId="0">[1]General_MA!$I$10,[1]General_MA!$J$18,[1]General_MA!$J$25</definedName>
    <definedName name="MA_D4_against">[2]General_MA!$I$10,[2]General_MA!$J$18,[2]General_MA!$J$25</definedName>
    <definedName name="MA_D4_Pld" localSheetId="0">[1]General_MA!$J$10,[1]General_MA!$I$18,[1]General_MA!$I$25</definedName>
    <definedName name="MA_D4_Pld">[2]General_MA!$J$10,[2]General_MA!$I$18,[2]General_MA!$I$25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5" i="14" l="1"/>
  <c r="C202" i="14"/>
  <c r="D202" i="14"/>
  <c r="E202" i="14"/>
  <c r="C203" i="14"/>
  <c r="D203" i="14"/>
  <c r="E203" i="14"/>
  <c r="C204" i="14"/>
  <c r="D204" i="14"/>
  <c r="E204" i="14"/>
  <c r="C205" i="14"/>
  <c r="D205" i="14"/>
  <c r="E205" i="14"/>
  <c r="C207" i="14"/>
  <c r="D207" i="14"/>
  <c r="E207" i="14"/>
  <c r="C208" i="14"/>
  <c r="D208" i="14"/>
  <c r="E208" i="14"/>
  <c r="C209" i="14"/>
  <c r="D209" i="14"/>
  <c r="E209" i="14"/>
  <c r="C210" i="14"/>
  <c r="D210" i="14"/>
  <c r="E210" i="14"/>
  <c r="B208" i="14"/>
  <c r="B209" i="14"/>
  <c r="B210" i="14"/>
  <c r="B207" i="14"/>
  <c r="B203" i="14"/>
  <c r="B204" i="14"/>
  <c r="B205" i="14"/>
  <c r="B202" i="14"/>
  <c r="E245" i="14"/>
  <c r="D245" i="14"/>
  <c r="C245" i="14"/>
  <c r="C86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</calcChain>
</file>

<file path=xl/sharedStrings.xml><?xml version="1.0" encoding="utf-8"?>
<sst xmlns="http://schemas.openxmlformats.org/spreadsheetml/2006/main" count="485" uniqueCount="266">
  <si>
    <t>Alla svar fylls i i kolumn F, gröna fält.</t>
  </si>
  <si>
    <t>Mejla ditt tips till mattias_hojer@hotmail.com</t>
  </si>
  <si>
    <t>Swish</t>
  </si>
  <si>
    <r>
      <rPr>
        <sz val="8"/>
        <color rgb="FF000000"/>
        <rFont val="Calibri"/>
      </rPr>
      <t xml:space="preserve">Vi behöver ditt tips och 100 kr före avspark </t>
    </r>
    <r>
      <rPr>
        <u/>
        <sz val="8"/>
        <color rgb="FF000000"/>
        <rFont val="Calibri"/>
      </rPr>
      <t>senast den 20 november kl. 17.00</t>
    </r>
    <r>
      <rPr>
        <sz val="8"/>
        <color rgb="FF000000"/>
        <rFont val="Calibri"/>
      </rPr>
      <t xml:space="preserve"> till Mattias Swish 070-396 2209</t>
    </r>
  </si>
  <si>
    <t>Poäng för rätt svar:</t>
  </si>
  <si>
    <r>
      <rPr>
        <u/>
        <sz val="8"/>
        <rFont val="Calibri"/>
        <family val="2"/>
      </rPr>
      <t>Stryktips och slutspel:</t>
    </r>
    <r>
      <rPr>
        <sz val="8"/>
        <rFont val="Calibri"/>
        <family val="2"/>
      </rPr>
      <t xml:space="preserve">  0.5*(1+2*antal tippare-antal som tippat rätt)</t>
    </r>
  </si>
  <si>
    <t>Det innebär att man får mer poäng för rätt svar om det är få som tippat rätt (se exempel längre ner).</t>
  </si>
  <si>
    <r>
      <rPr>
        <u/>
        <sz val="8"/>
        <rFont val="Calibri"/>
        <family val="2"/>
      </rPr>
      <t>Extrafrågor</t>
    </r>
    <r>
      <rPr>
        <sz val="8"/>
        <rFont val="Calibri"/>
        <family val="2"/>
      </rPr>
      <t>: 75 % * antalet tippare</t>
    </r>
  </si>
  <si>
    <t>Det innebär att det är samma poäng på frågorna oavsett vad de andra tippat.</t>
  </si>
  <si>
    <t>MEDALJBONUS: En nyhet för året är att  de som tippar rätt etta, tvåa och trea får en bonus på 75%*antalet tippare.</t>
  </si>
  <si>
    <t>Ditt tips</t>
  </si>
  <si>
    <t>Match</t>
  </si>
  <si>
    <t>Grupp</t>
  </si>
  <si>
    <t>Datum</t>
  </si>
  <si>
    <t>Tid</t>
  </si>
  <si>
    <t>Kanal</t>
  </si>
  <si>
    <t>1, X eller 2?</t>
  </si>
  <si>
    <t> Qatar -  Ecuador</t>
  </si>
  <si>
    <t>A</t>
  </si>
  <si>
    <t>TV4        C More               </t>
  </si>
  <si>
    <t>Vinsterna fördelas enligt följande:</t>
  </si>
  <si>
    <t> England -  Iran</t>
  </si>
  <si>
    <t>B</t>
  </si>
  <si>
    <t>SVT 1     SVT Play</t>
  </si>
  <si>
    <t>Vinnaren får 50 % av total pott, 2:an får får 30% och 3:an får 20%</t>
  </si>
  <si>
    <t> Senegal -  Nederländerna</t>
  </si>
  <si>
    <t>Alla inbetalade pengar hamnar i potten. Om ingen får något rätt skänks pengarna till någon ideell förening</t>
  </si>
  <si>
    <t> USA -  Wales</t>
  </si>
  <si>
    <t>Dessutom kommer Mattias och Erik ge en gåva till Amnesty International som motsvarar hela prispotten.</t>
  </si>
  <si>
    <t> Argentina -  Saudiarabien</t>
  </si>
  <si>
    <t>C</t>
  </si>
  <si>
    <t> Danmark -  Tunisien</t>
  </si>
  <si>
    <t>D</t>
  </si>
  <si>
    <t>Mål vid straffläggning räknas inte i de avslutande målfrågorna.</t>
  </si>
  <si>
    <t> Mexiko -  Polen</t>
  </si>
  <si>
    <t> Frankrike -  Australien</t>
  </si>
  <si>
    <t>Mattias och Erik är enväldiga domare.</t>
  </si>
  <si>
    <t> Marocko -  Kroatien</t>
  </si>
  <si>
    <t>F</t>
  </si>
  <si>
    <t> Tyskland -  Japan</t>
  </si>
  <si>
    <t>E</t>
  </si>
  <si>
    <t>Grupper och lag (FIFA:s världsranking nov 2022 inom parentes)</t>
  </si>
  <si>
    <t> Spanien -  Costa Rica</t>
  </si>
  <si>
    <t> Belgien -  Kanada</t>
  </si>
  <si>
    <t>SVT 2     SVT Play</t>
  </si>
  <si>
    <t>Nederländerna (8)</t>
  </si>
  <si>
    <t>England (5)</t>
  </si>
  <si>
    <t>Polen (26)</t>
  </si>
  <si>
    <t>Frankrike (4)</t>
  </si>
  <si>
    <t> Schweiz -  Kamerun</t>
  </si>
  <si>
    <t>G</t>
  </si>
  <si>
    <t>Ecuador (44)</t>
  </si>
  <si>
    <t>USA (16)</t>
  </si>
  <si>
    <t>Argentina (3)</t>
  </si>
  <si>
    <t>Danmark (10)</t>
  </si>
  <si>
    <t> Uruguay -  Sydkorea</t>
  </si>
  <si>
    <t>H</t>
  </si>
  <si>
    <t>Senegal  (18)</t>
  </si>
  <si>
    <t>Iran (20)</t>
  </si>
  <si>
    <t>Mexiko (13)</t>
  </si>
  <si>
    <t>Tunisien (30)</t>
  </si>
  <si>
    <t> Portugal -  Ghana</t>
  </si>
  <si>
    <t>Qatar (50)</t>
  </si>
  <si>
    <t>Wales (19)</t>
  </si>
  <si>
    <t>Saudiarabien  (51)</t>
  </si>
  <si>
    <t>Australien (38)</t>
  </si>
  <si>
    <t> Brasilien -  Serbien</t>
  </si>
  <si>
    <t xml:space="preserve">G </t>
  </si>
  <si>
    <t> Wales -  Iran</t>
  </si>
  <si>
    <t> Qatar -  Senegal</t>
  </si>
  <si>
    <t>Tyskland (11)</t>
  </si>
  <si>
    <t>Kroatien (12)</t>
  </si>
  <si>
    <t>Schweiz (15)</t>
  </si>
  <si>
    <t>Portugal (9)</t>
  </si>
  <si>
    <t> Nederländerna -  Ecuador</t>
  </si>
  <si>
    <t>Spanien (7)</t>
  </si>
  <si>
    <t>Belgien (2)</t>
  </si>
  <si>
    <t>Serbien (21)</t>
  </si>
  <si>
    <t>Uruguay (14)</t>
  </si>
  <si>
    <t> England -  USA</t>
  </si>
  <si>
    <t>Costa Rica (31)</t>
  </si>
  <si>
    <t>Kanada (41)</t>
  </si>
  <si>
    <t>Brasilien (1)</t>
  </si>
  <si>
    <t>Ghana (61)</t>
  </si>
  <si>
    <t> Tunisien -  Australien</t>
  </si>
  <si>
    <t>Japan (24)</t>
  </si>
  <si>
    <t>Marocko (22)</t>
  </si>
  <si>
    <t>Kamerun (43)</t>
  </si>
  <si>
    <t>Sydkorea  (28)</t>
  </si>
  <si>
    <t> Polen -  Saudiarabien</t>
  </si>
  <si>
    <t> Frankrike -  Danmark</t>
  </si>
  <si>
    <t>Åttondelsfinalerna</t>
  </si>
  <si>
    <t> Argentina -  Mexiko</t>
  </si>
  <si>
    <t>Åttondel 1, 1A-2B</t>
  </si>
  <si>
    <t> Japan -  Costa Rica</t>
  </si>
  <si>
    <t>Åttondel 2, 1C-2D</t>
  </si>
  <si>
    <t> Belgien -  Marocko</t>
  </si>
  <si>
    <t>Åttondel 3, 1D-2C</t>
  </si>
  <si>
    <t> Kroatien -  Kanada</t>
  </si>
  <si>
    <t>Åttondel 4, 1B-2A</t>
  </si>
  <si>
    <t> Spanien -  Tyskland</t>
  </si>
  <si>
    <t>Åttondel 5, 1E-2F</t>
  </si>
  <si>
    <t> Kamerun -  Serbien</t>
  </si>
  <si>
    <t>Åttondel 6, 1G-2H</t>
  </si>
  <si>
    <t> Sydkorea -  Ghana</t>
  </si>
  <si>
    <t>Åttondel 7, 1F-2E</t>
  </si>
  <si>
    <t> Brasilien -  Schweiz</t>
  </si>
  <si>
    <t>Åttondel 8, 1H-2G</t>
  </si>
  <si>
    <t> Portugal -  Uruguay</t>
  </si>
  <si>
    <t xml:space="preserve">Kvartsfinalerna </t>
  </si>
  <si>
    <t> Nederländerna -  Qatar</t>
  </si>
  <si>
    <t>Kvart 1, vinnare Å5-Å6</t>
  </si>
  <si>
    <t> Ecuador -  Senegal</t>
  </si>
  <si>
    <t>Kvart 2, vinnare Å1-Å2</t>
  </si>
  <si>
    <t> Wales -  England</t>
  </si>
  <si>
    <t>Kvart 3, vinnare Å7-Å8</t>
  </si>
  <si>
    <t> Iran -  USA</t>
  </si>
  <si>
    <t>SVT 24     SVT Play</t>
  </si>
  <si>
    <t>Kvart 4, vinnare Å3-Å4</t>
  </si>
  <si>
    <t> Tunisien -  Frankrike</t>
  </si>
  <si>
    <t>Semifinalerna</t>
  </si>
  <si>
    <t> Australien -  Danmark</t>
  </si>
  <si>
    <t>Semi 1, vinnare K1-K2</t>
  </si>
  <si>
    <t> Polen -  Argentina</t>
  </si>
  <si>
    <t>Semi 2, vinnare K3-K4</t>
  </si>
  <si>
    <t> Saudiarabien -  Mexiko</t>
  </si>
  <si>
    <t>Bronsmatchen</t>
  </si>
  <si>
    <t> Kroatien -  Belgien</t>
  </si>
  <si>
    <t>Bronsmatch</t>
  </si>
  <si>
    <t> Kanada -  Marocko</t>
  </si>
  <si>
    <t>Kunskapskanalen     SVT Play</t>
  </si>
  <si>
    <t>Finalen</t>
  </si>
  <si>
    <t> Japan -  Spanien</t>
  </si>
  <si>
    <t>Final</t>
  </si>
  <si>
    <t> Costa Rica -  Tyskland</t>
  </si>
  <si>
    <t> Sydkorea -  Portugal</t>
  </si>
  <si>
    <t> Ghana -  Uruguay</t>
  </si>
  <si>
    <t>Medaljer 2000-2021 (Herr)</t>
  </si>
  <si>
    <t>Guld</t>
  </si>
  <si>
    <t>Silver</t>
  </si>
  <si>
    <t>Brons</t>
  </si>
  <si>
    <t>Summa medaljer</t>
  </si>
  <si>
    <t> Kamerun -  Brasilien</t>
  </si>
  <si>
    <t>Per Bolund</t>
  </si>
  <si>
    <t> </t>
  </si>
  <si>
    <t> Serbien -  Schweiz</t>
  </si>
  <si>
    <t>Mattias Höjer</t>
  </si>
  <si>
    <t>Gustav Ryd</t>
  </si>
  <si>
    <t>Vilka två lag går vidare från respektive grupp?</t>
  </si>
  <si>
    <t>Martin Hunhammar</t>
  </si>
  <si>
    <t>Patrik Claesson</t>
  </si>
  <si>
    <t>Fanny Wendt Höjer</t>
  </si>
  <si>
    <t>Kristian Wendt Karl</t>
  </si>
  <si>
    <t>Åsa Svenfelt</t>
  </si>
  <si>
    <t>Jonas Åkerman</t>
  </si>
  <si>
    <t>August Wigh</t>
  </si>
  <si>
    <t>Bengt Höjer</t>
  </si>
  <si>
    <t>Erik Netz</t>
  </si>
  <si>
    <t>Felix Hasselblad</t>
  </si>
  <si>
    <t>Jonas Olbe</t>
  </si>
  <si>
    <t>Gustav Olbe</t>
  </si>
  <si>
    <t>Olof Jakobsson</t>
  </si>
  <si>
    <t>Tott Svanfeldt</t>
  </si>
  <si>
    <t>Alex Svanfeldt</t>
  </si>
  <si>
    <t>Jonas Nervik</t>
  </si>
  <si>
    <t>Nils Markgren</t>
  </si>
  <si>
    <t>Nils Netz</t>
  </si>
  <si>
    <t>Vlad Coroama</t>
  </si>
  <si>
    <t>Vilka går till kvartsfinal?</t>
  </si>
  <si>
    <t>Lag</t>
  </si>
  <si>
    <t>Poäng, antal deltagare:</t>
  </si>
  <si>
    <t>Antal rätta tips</t>
  </si>
  <si>
    <t>Antal poäng vid rätt</t>
  </si>
  <si>
    <t>Vilka går till semifinal?</t>
  </si>
  <si>
    <t>Poäng vid 0 rätta tips kan bara utdelas till T.Orsk</t>
  </si>
  <si>
    <t>Vilka går till final?</t>
  </si>
  <si>
    <t>Vilket lag vinner Bronsmatchen?</t>
  </si>
  <si>
    <t>Vilket lag blir världsmästare?</t>
  </si>
  <si>
    <t>Medaljbonus</t>
  </si>
  <si>
    <t>Rätt etta, tvåa och trea ger en bonus på 75%*antalet tippare.</t>
  </si>
  <si>
    <t>EXTRAFRÅGOR:</t>
  </si>
  <si>
    <t>I hur många matcher i gruppspelet görs 5 mål eller fler?</t>
  </si>
  <si>
    <t>Hur många matcher?</t>
  </si>
  <si>
    <t>VM 2018: 4, VM 2014: 7, VM 2010: 3</t>
  </si>
  <si>
    <t>I vilken grupp görs det flest mål?</t>
  </si>
  <si>
    <t>Vilken grupp?</t>
  </si>
  <si>
    <t>Hur många mål görs det sammanlagt i kvartsfinalerna?</t>
  </si>
  <si>
    <t>Antal mål?</t>
  </si>
  <si>
    <t>VM 2018: 11 mål, EM 2016: 15 mål, VM 2014: 5, EM 2012: 9, VM 2010: 10</t>
  </si>
  <si>
    <t>Hur många mål gör VM:s skyttekung?</t>
  </si>
  <si>
    <t>Hur många mål?</t>
  </si>
  <si>
    <t>VM 2018: 6 (Edward Kane, ENG), VM 2014: 6 (Rodrigues), VM 2010: 5 (4 st)</t>
  </si>
  <si>
    <t>Vilken match blir den sista med fyra mål eller fler?</t>
  </si>
  <si>
    <t>Vilken match?</t>
  </si>
  <si>
    <t>VM 2018: Finalen, VM 2014: En semi, VM 2010:  Bronsmatchen</t>
  </si>
  <si>
    <t>Hur många matcher avgörs* efter åttiofemte** minuten?</t>
  </si>
  <si>
    <t>Antal sena avgöranden?</t>
  </si>
  <si>
    <t>VM 2018: "13-15 matcher" (64 matcher), EM 2016: "Fler än 13" av 51 matcher (VM 2022 har 64 matcher)</t>
  </si>
  <si>
    <t>Hur många mål gör laget som gör flest mål?</t>
  </si>
  <si>
    <t>VM 2018: 16 mål (Belgien), VM 2014: 18 mål (Tyskland), VM 2010: 16 mål (Tyskland)</t>
  </si>
  <si>
    <t>*dvs förändrad segrare/oavgjort efter åttiofemte minuten, i förlängning eller på straffar.</t>
  </si>
  <si>
    <t>Detta innebär t.ex. att om Qatar leder finalen med 1-0 efter åttiofem minuter, och Saudiarabien</t>
  </si>
  <si>
    <t xml:space="preserve">kvitterar och får förlängning, men Qatar vinner straffläggningen, så är det inte en sådan match. </t>
  </si>
  <si>
    <t xml:space="preserve">Det innebär även att om Ghana leder med 4-0 mot Portugal efter åttiofem minuter i gruppspelet, </t>
  </si>
  <si>
    <t>Portugal kvitterar efter nittio minuter, men Ghana gör 5-4 i nittioandra, så räknas det inte heller in.</t>
  </si>
  <si>
    <t xml:space="preserve"> I inget av fallen har ju segraren blivit någon annan än den som ledde före åttiofem.</t>
  </si>
  <si>
    <t>**Efter 85:00</t>
  </si>
  <si>
    <t>För validering: (Don't touch, bry er inte om detta!)</t>
  </si>
  <si>
    <t>X</t>
  </si>
  <si>
    <t>Vidare från gruppen</t>
  </si>
  <si>
    <t>Kvart</t>
  </si>
  <si>
    <t>Semi</t>
  </si>
  <si>
    <t>5 mål eller fler</t>
  </si>
  <si>
    <t>0-2</t>
  </si>
  <si>
    <t>3-4</t>
  </si>
  <si>
    <t>5-6</t>
  </si>
  <si>
    <t>7 eller fler</t>
  </si>
  <si>
    <t>Minst mål</t>
  </si>
  <si>
    <t>Mest  mål</t>
  </si>
  <si>
    <t>Grupp A</t>
  </si>
  <si>
    <t>Grupp B</t>
  </si>
  <si>
    <t>Grupp C</t>
  </si>
  <si>
    <t>Grupp D</t>
  </si>
  <si>
    <t>Grupp E</t>
  </si>
  <si>
    <t>Grupp F</t>
  </si>
  <si>
    <t>Grupp G</t>
  </si>
  <si>
    <t>Grupp H</t>
  </si>
  <si>
    <t>Skyttekungen</t>
  </si>
  <si>
    <t>0-2 mål</t>
  </si>
  <si>
    <t>3-4 mål</t>
  </si>
  <si>
    <t>5 mål</t>
  </si>
  <si>
    <t>6 mål</t>
  </si>
  <si>
    <t>7 mål</t>
  </si>
  <si>
    <t>8 mål eller fler</t>
  </si>
  <si>
    <t>minst fyra mål</t>
  </si>
  <si>
    <t>TV4     </t>
  </si>
  <si>
    <t>1. finalen</t>
  </si>
  <si>
    <t>2. bronsmatchen</t>
  </si>
  <si>
    <t>3. någon semi</t>
  </si>
  <si>
    <t>4. någon kvart</t>
  </si>
  <si>
    <t>5. någon åttondel</t>
  </si>
  <si>
    <t>6. någon tidigare eller ingen</t>
  </si>
  <si>
    <t>0-8 matcher</t>
  </si>
  <si>
    <t>9-12 matcher</t>
  </si>
  <si>
    <t>13-15 matcher</t>
  </si>
  <si>
    <t>16-18 matcher</t>
  </si>
  <si>
    <t>19 +  matcher</t>
  </si>
  <si>
    <t>Sverige</t>
  </si>
  <si>
    <t>0-12 mål</t>
  </si>
  <si>
    <t>13-14 mål</t>
  </si>
  <si>
    <t>15-16 mål</t>
  </si>
  <si>
    <t>17-18 mål</t>
  </si>
  <si>
    <t>19-20 mål</t>
  </si>
  <si>
    <t>21 mål eller fler</t>
  </si>
  <si>
    <t>Kvartsfinaler</t>
  </si>
  <si>
    <t>0-5 mål</t>
  </si>
  <si>
    <t>6-8 mål</t>
  </si>
  <si>
    <t>9-10 mål</t>
  </si>
  <si>
    <t>11-12 mål</t>
  </si>
  <si>
    <t>13-15 mål</t>
  </si>
  <si>
    <t>15+ mål</t>
  </si>
  <si>
    <t>Använd rullgardinsmenyerna för respektive cell. Obs att det är frågor ner till rad 179</t>
  </si>
  <si>
    <t>Axel</t>
  </si>
  <si>
    <t>Sellberg</t>
  </si>
  <si>
    <t xml:space="preserve">Åttondelsfinal </t>
  </si>
  <si>
    <t>13-15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</si>
</sst>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D]dd/mmm;@"/>
    <numFmt numFmtId="165" formatCode="hh:mm;@"/>
  </numFmts>
  <fonts count="16">
    <font>
      <sz val="9"/>
      <name val="Helv"/>
    </font>
    <font>
      <sz val="8"/>
      <name val="Arial CYR"/>
    </font>
    <font>
      <sz val="9"/>
      <name val="Arial"/>
      <family val="2"/>
    </font>
    <font>
      <sz val="8"/>
      <name val="Calibri"/>
      <family val="2"/>
    </font>
    <font>
      <u/>
      <sz val="8"/>
      <name val="Calibri"/>
      <family val="2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3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</font>
    <font>
      <b/>
      <sz val="8"/>
      <name val="Calibri"/>
    </font>
    <font>
      <sz val="8"/>
      <color rgb="FF000000"/>
      <name val="Calibri"/>
    </font>
    <font>
      <u/>
      <sz val="8"/>
      <color rgb="FF000000"/>
      <name val="Calibri"/>
    </font>
    <font>
      <b/>
      <sz val="8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51">
    <xf numFmtId="0" fontId="0" fillId="0" borderId="0" xfId="0"/>
    <xf numFmtId="0" fontId="5" fillId="4" borderId="1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0" fontId="8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  <xf numFmtId="164" fontId="7" fillId="2" borderId="0" xfId="0" applyNumberFormat="1" applyFont="1" applyFill="1" applyAlignment="1">
      <alignment horizontal="center" vertical="center" wrapText="1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5" borderId="4" xfId="2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Alignment="1">
      <alignment horizontal="right" vertical="center" wrapText="1"/>
    </xf>
    <xf numFmtId="0" fontId="9" fillId="4" borderId="4" xfId="2" applyFont="1" applyFill="1" applyBorder="1" applyAlignment="1" applyProtection="1">
      <alignment horizontal="center" vertical="center"/>
      <protection hidden="1"/>
    </xf>
    <xf numFmtId="0" fontId="9" fillId="5" borderId="1" xfId="2" applyFont="1" applyFill="1" applyBorder="1" applyAlignment="1" applyProtection="1">
      <alignment horizontal="center" vertical="center"/>
      <protection hidden="1"/>
    </xf>
    <xf numFmtId="0" fontId="7" fillId="4" borderId="4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9" fillId="8" borderId="0" xfId="0" applyFont="1" applyFill="1" applyAlignment="1">
      <alignment vertical="center"/>
    </xf>
    <xf numFmtId="0" fontId="7" fillId="6" borderId="0" xfId="0" quotePrefix="1" applyFont="1" applyFill="1" applyAlignment="1">
      <alignment vertical="center"/>
    </xf>
    <xf numFmtId="0" fontId="7" fillId="6" borderId="0" xfId="0" quotePrefix="1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vertical="center"/>
    </xf>
    <xf numFmtId="16" fontId="7" fillId="6" borderId="0" xfId="0" applyNumberFormat="1" applyFont="1" applyFill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16" fontId="7" fillId="6" borderId="0" xfId="0" quotePrefix="1" applyNumberFormat="1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3" borderId="10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7" fillId="3" borderId="5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20" fontId="7" fillId="0" borderId="0" xfId="0" applyNumberFormat="1" applyFont="1" applyAlignment="1">
      <alignment vertical="center" wrapText="1"/>
    </xf>
    <xf numFmtId="0" fontId="7" fillId="3" borderId="0" xfId="0" applyFont="1" applyFill="1" applyAlignment="1">
      <alignment horizontal="right" vertical="center"/>
    </xf>
    <xf numFmtId="49" fontId="7" fillId="3" borderId="10" xfId="0" applyNumberFormat="1" applyFont="1" applyFill="1" applyBorder="1" applyAlignment="1">
      <alignment horizontal="left" vertical="center"/>
    </xf>
    <xf numFmtId="0" fontId="7" fillId="3" borderId="14" xfId="0" applyFont="1" applyFill="1" applyBorder="1" applyAlignment="1">
      <alignment horizontal="right" vertical="center"/>
    </xf>
    <xf numFmtId="0" fontId="7" fillId="3" borderId="14" xfId="0" applyFont="1" applyFill="1" applyBorder="1" applyAlignment="1">
      <alignment vertical="center"/>
    </xf>
    <xf numFmtId="0" fontId="7" fillId="3" borderId="15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horizontal="right" vertical="center"/>
    </xf>
    <xf numFmtId="0" fontId="7" fillId="5" borderId="16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9" borderId="2" xfId="0" applyFont="1" applyFill="1" applyBorder="1" applyAlignment="1">
      <alignment vertical="center" wrapText="1"/>
    </xf>
    <xf numFmtId="0" fontId="5" fillId="9" borderId="3" xfId="0" applyFont="1" applyFill="1" applyBorder="1" applyAlignment="1">
      <alignment vertical="center" wrapText="1"/>
    </xf>
    <xf numFmtId="0" fontId="5" fillId="9" borderId="10" xfId="0" applyFont="1" applyFill="1" applyBorder="1" applyAlignment="1">
      <alignment horizontal="left" vertical="center" wrapText="1"/>
    </xf>
    <xf numFmtId="0" fontId="5" fillId="9" borderId="0" xfId="0" applyFont="1" applyFill="1" applyAlignment="1">
      <alignment horizontal="left" vertical="center" wrapText="1"/>
    </xf>
    <xf numFmtId="0" fontId="5" fillId="9" borderId="5" xfId="0" applyFont="1" applyFill="1" applyBorder="1" applyAlignment="1">
      <alignment horizontal="left" vertical="center" wrapText="1"/>
    </xf>
    <xf numFmtId="0" fontId="7" fillId="9" borderId="10" xfId="0" applyFont="1" applyFill="1" applyBorder="1" applyAlignment="1">
      <alignment horizontal="left" vertical="center" wrapText="1"/>
    </xf>
    <xf numFmtId="0" fontId="7" fillId="9" borderId="0" xfId="0" applyFont="1" applyFill="1" applyAlignment="1">
      <alignment horizontal="left" vertical="center" wrapText="1"/>
    </xf>
    <xf numFmtId="0" fontId="7" fillId="9" borderId="5" xfId="0" applyFont="1" applyFill="1" applyBorder="1" applyAlignment="1">
      <alignment horizontal="left" vertical="center" wrapText="1"/>
    </xf>
    <xf numFmtId="0" fontId="7" fillId="9" borderId="13" xfId="0" applyFont="1" applyFill="1" applyBorder="1" applyAlignment="1">
      <alignment horizontal="left" vertical="center" wrapText="1"/>
    </xf>
    <xf numFmtId="0" fontId="7" fillId="9" borderId="14" xfId="0" applyFont="1" applyFill="1" applyBorder="1" applyAlignment="1">
      <alignment horizontal="left" vertical="center" wrapText="1"/>
    </xf>
    <xf numFmtId="0" fontId="7" fillId="9" borderId="15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165" fontId="7" fillId="2" borderId="0" xfId="0" applyNumberFormat="1" applyFont="1" applyFill="1" applyAlignment="1">
      <alignment horizontal="center" vertical="center" wrapText="1"/>
    </xf>
    <xf numFmtId="20" fontId="7" fillId="2" borderId="5" xfId="0" quotePrefix="1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7" fillId="2" borderId="14" xfId="0" applyFont="1" applyFill="1" applyBorder="1" applyAlignment="1">
      <alignment horizontal="center" vertical="center" wrapText="1"/>
    </xf>
    <xf numFmtId="165" fontId="7" fillId="2" borderId="14" xfId="0" applyNumberFormat="1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left" vertical="center"/>
    </xf>
    <xf numFmtId="0" fontId="7" fillId="10" borderId="18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1" fontId="7" fillId="10" borderId="19" xfId="0" applyNumberFormat="1" applyFont="1" applyFill="1" applyBorder="1" applyAlignment="1">
      <alignment horizontal="center" vertical="center"/>
    </xf>
    <xf numFmtId="2" fontId="7" fillId="10" borderId="20" xfId="0" applyNumberFormat="1" applyFont="1" applyFill="1" applyBorder="1" applyAlignment="1">
      <alignment horizontal="center" vertical="center"/>
    </xf>
    <xf numFmtId="1" fontId="7" fillId="10" borderId="21" xfId="0" applyNumberFormat="1" applyFont="1" applyFill="1" applyBorder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vertical="center"/>
    </xf>
    <xf numFmtId="0" fontId="7" fillId="10" borderId="16" xfId="0" applyFont="1" applyFill="1" applyBorder="1" applyAlignment="1">
      <alignment vertical="center"/>
    </xf>
    <xf numFmtId="0" fontId="5" fillId="5" borderId="0" xfId="0" applyFont="1" applyFill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0" fontId="7" fillId="9" borderId="0" xfId="0" applyFont="1" applyFill="1" applyAlignment="1">
      <alignment vertical="center"/>
    </xf>
    <xf numFmtId="0" fontId="7" fillId="9" borderId="5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1" fontId="7" fillId="6" borderId="0" xfId="0" applyNumberFormat="1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 wrapText="1"/>
    </xf>
    <xf numFmtId="49" fontId="9" fillId="5" borderId="4" xfId="0" applyNumberFormat="1" applyFont="1" applyFill="1" applyBorder="1" applyAlignment="1">
      <alignment horizontal="left" vertical="center"/>
    </xf>
    <xf numFmtId="0" fontId="9" fillId="5" borderId="4" xfId="2" applyFont="1" applyFill="1" applyBorder="1" applyAlignment="1" applyProtection="1">
      <alignment horizontal="left" vertical="center"/>
      <protection hidden="1"/>
    </xf>
    <xf numFmtId="0" fontId="9" fillId="0" borderId="4" xfId="0" applyFont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left" vertical="center"/>
    </xf>
    <xf numFmtId="0" fontId="9" fillId="5" borderId="0" xfId="0" quotePrefix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4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/>
    </xf>
    <xf numFmtId="0" fontId="9" fillId="5" borderId="6" xfId="0" applyFont="1" applyFill="1" applyBorder="1" applyAlignment="1">
      <alignment horizontal="left" vertical="center"/>
    </xf>
    <xf numFmtId="15" fontId="7" fillId="0" borderId="0" xfId="0" applyNumberFormat="1" applyFont="1" applyAlignment="1">
      <alignment vertical="center"/>
    </xf>
    <xf numFmtId="20" fontId="7" fillId="0" borderId="0" xfId="0" applyNumberFormat="1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9" fillId="5" borderId="8" xfId="0" applyFont="1" applyFill="1" applyBorder="1" applyAlignment="1">
      <alignment vertical="center"/>
    </xf>
    <xf numFmtId="0" fontId="9" fillId="5" borderId="16" xfId="0" applyFont="1" applyFill="1" applyBorder="1" applyAlignment="1">
      <alignment vertical="center"/>
    </xf>
    <xf numFmtId="0" fontId="7" fillId="5" borderId="0" xfId="0" applyFont="1" applyFill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164" fontId="7" fillId="12" borderId="0" xfId="0" applyNumberFormat="1" applyFont="1" applyFill="1" applyAlignment="1">
      <alignment horizontal="center" vertical="center"/>
    </xf>
    <xf numFmtId="20" fontId="7" fillId="12" borderId="0" xfId="0" applyNumberFormat="1" applyFont="1" applyFill="1" applyAlignment="1">
      <alignment horizontal="center" vertical="center"/>
    </xf>
    <xf numFmtId="0" fontId="11" fillId="13" borderId="10" xfId="0" applyFont="1" applyFill="1" applyBorder="1"/>
    <xf numFmtId="0" fontId="11" fillId="13" borderId="13" xfId="0" applyFont="1" applyFill="1" applyBorder="1"/>
    <xf numFmtId="0" fontId="12" fillId="13" borderId="0" xfId="0" applyFont="1" applyFill="1"/>
    <xf numFmtId="0" fontId="9" fillId="4" borderId="5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/>
    </xf>
    <xf numFmtId="0" fontId="12" fillId="13" borderId="0" xfId="0" applyFont="1" applyFill="1" applyAlignment="1">
      <alignment horizontal="center"/>
    </xf>
    <xf numFmtId="49" fontId="7" fillId="4" borderId="4" xfId="0" applyNumberFormat="1" applyFont="1" applyFill="1" applyBorder="1" applyAlignment="1">
      <alignment horizontal="center" vertical="center" wrapText="1"/>
    </xf>
    <xf numFmtId="0" fontId="9" fillId="5" borderId="4" xfId="2" applyFont="1" applyFill="1" applyBorder="1" applyAlignment="1" applyProtection="1">
      <alignment horizontal="center" vertical="center" wrapText="1"/>
      <protection hidden="1"/>
    </xf>
    <xf numFmtId="0" fontId="15" fillId="5" borderId="4" xfId="2" applyFont="1" applyFill="1" applyBorder="1" applyAlignment="1" applyProtection="1">
      <alignment horizontal="center" vertical="center"/>
      <protection hidden="1"/>
    </xf>
    <xf numFmtId="0" fontId="11" fillId="14" borderId="10" xfId="0" applyFont="1" applyFill="1" applyBorder="1" applyAlignment="1">
      <alignment horizontal="center"/>
    </xf>
    <xf numFmtId="0" fontId="11" fillId="15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1" fillId="13" borderId="5" xfId="0" applyFont="1" applyFill="1" applyBorder="1" applyAlignment="1">
      <alignment horizontal="center"/>
    </xf>
    <xf numFmtId="0" fontId="11" fillId="14" borderId="13" xfId="0" applyFont="1" applyFill="1" applyBorder="1" applyAlignment="1">
      <alignment horizontal="center"/>
    </xf>
    <xf numFmtId="0" fontId="11" fillId="15" borderId="14" xfId="0" applyFont="1" applyFill="1" applyBorder="1" applyAlignment="1">
      <alignment horizontal="center"/>
    </xf>
    <xf numFmtId="0" fontId="11" fillId="16" borderId="14" xfId="0" applyFont="1" applyFill="1" applyBorder="1" applyAlignment="1">
      <alignment horizontal="center"/>
    </xf>
    <xf numFmtId="0" fontId="11" fillId="13" borderId="15" xfId="0" applyFont="1" applyFill="1" applyBorder="1" applyAlignment="1">
      <alignment horizontal="center"/>
    </xf>
    <xf numFmtId="0" fontId="7" fillId="3" borderId="0" xfId="0" applyFont="1" applyFill="1" applyAlignment="1">
      <alignment horizontal="left" vertical="center"/>
    </xf>
    <xf numFmtId="0" fontId="7" fillId="3" borderId="24" xfId="0" applyFont="1" applyFill="1" applyBorder="1" applyAlignment="1">
      <alignment vertical="center" wrapText="1"/>
    </xf>
    <xf numFmtId="0" fontId="7" fillId="5" borderId="25" xfId="0" applyFont="1" applyFill="1" applyBorder="1" applyAlignment="1">
      <alignment horizontal="center" vertical="center"/>
    </xf>
    <xf numFmtId="0" fontId="13" fillId="3" borderId="0" xfId="0" applyFont="1" applyFill="1" applyAlignment="1">
      <alignment vertical="center"/>
    </xf>
  </cellXfs>
  <cellStyles count="3">
    <cellStyle name="Excel Built-in Normal" xfId="1" xr:uid="{00000000-0005-0000-0000-000000000000}"/>
    <cellStyle name="Normal" xfId="0" builtinId="0"/>
    <cellStyle name="Normal_World Cup 2006" xfId="2" xr:uid="{00000000-0005-0000-0000-000002000000}"/>
  </cellStyles>
  <dxfs count="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externalLink" Target="externalLinks/externalLink2.xml" /><Relationship Id="rId7" Type="http://schemas.openxmlformats.org/officeDocument/2006/relationships/calcChain" Target="calcChain.xml" /><Relationship Id="rId2" Type="http://schemas.openxmlformats.org/officeDocument/2006/relationships/externalLink" Target="externalLinks/externalLink1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1a7fdf1d0a97a5/Dokument/Macintosh%20HD%20C/Documents%20and%20Settings/hojer/Desktop/users/hojer/My%20Documents/MattiasA/Privat/EM2004/Annat/UEFA-Mattias.xls" TargetMode="External" 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Documents%20and%20Settings/hojer/Desktop/users/hojer/My%20Documents/MattiasA/Privat/EM2004/Annat/UEFA-Mattias.xls" TargetMode="External" 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43"/>
  <sheetViews>
    <sheetView tabSelected="1" zoomScale="190" zoomScaleNormal="190" workbookViewId="0">
      <selection activeCell="D119" sqref="D119"/>
    </sheetView>
  </sheetViews>
  <sheetFormatPr defaultColWidth="11.984375" defaultRowHeight="10.9" customHeight="1" outlineLevelRow="1"/>
  <cols>
    <col min="1" max="4" width="23.82421875" style="39" customWidth="1"/>
    <col min="5" max="5" width="14.08203125" style="39" customWidth="1"/>
    <col min="6" max="6" width="19.62890625" style="10" customWidth="1"/>
    <col min="7" max="7" width="22.47265625" style="39" customWidth="1"/>
    <col min="8" max="8" width="8.390625" style="123" customWidth="1"/>
    <col min="9" max="9" width="12.13671875" style="39" customWidth="1"/>
    <col min="10" max="10" width="17.37890625" style="39" customWidth="1"/>
    <col min="11" max="11" width="21.875" style="39" customWidth="1"/>
    <col min="12" max="16384" width="11.984375" style="39"/>
  </cols>
  <sheetData>
    <row r="1" spans="1:11" ht="16.5" customHeight="1">
      <c r="A1" s="36" t="s">
        <v>0</v>
      </c>
      <c r="B1" s="37"/>
      <c r="C1" s="37"/>
      <c r="D1" s="38"/>
      <c r="E1" s="11"/>
      <c r="F1" s="1" t="s">
        <v>262</v>
      </c>
      <c r="G1" s="2"/>
      <c r="H1" s="2"/>
      <c r="I1" s="117"/>
      <c r="J1" s="3"/>
    </row>
    <row r="2" spans="1:11" ht="10.9" customHeight="1">
      <c r="A2" s="40" t="s">
        <v>261</v>
      </c>
      <c r="B2" s="41"/>
      <c r="C2" s="41"/>
      <c r="D2" s="42"/>
      <c r="E2" s="11"/>
      <c r="F2" s="4" t="s">
        <v>263</v>
      </c>
      <c r="G2" s="5"/>
      <c r="H2" s="5"/>
      <c r="I2" s="118"/>
      <c r="J2" s="6"/>
    </row>
    <row r="3" spans="1:11" ht="10.9" customHeight="1">
      <c r="A3" s="40" t="s">
        <v>1</v>
      </c>
      <c r="B3" s="41"/>
      <c r="C3" s="41"/>
      <c r="D3" s="42"/>
      <c r="E3" s="11"/>
      <c r="F3" s="7" t="s">
        <v>2</v>
      </c>
      <c r="G3" s="5"/>
      <c r="H3" s="5"/>
      <c r="I3" s="118"/>
      <c r="J3" s="6"/>
    </row>
    <row r="4" spans="1:11" ht="10.9" customHeight="1">
      <c r="A4" s="150" t="s">
        <v>3</v>
      </c>
      <c r="B4" s="41"/>
      <c r="C4" s="41"/>
      <c r="D4" s="42"/>
      <c r="E4" s="11"/>
      <c r="F4" s="8"/>
      <c r="G4" s="5"/>
      <c r="H4" s="5"/>
      <c r="I4" s="118"/>
      <c r="J4" s="6"/>
    </row>
    <row r="5" spans="1:11" ht="10.9" customHeight="1">
      <c r="A5" s="41"/>
      <c r="B5" s="41"/>
      <c r="C5" s="41"/>
      <c r="D5" s="42"/>
      <c r="E5" s="11"/>
      <c r="F5" s="9"/>
      <c r="G5" s="5"/>
      <c r="H5" s="5"/>
      <c r="I5" s="118"/>
      <c r="J5" s="6"/>
    </row>
    <row r="6" spans="1:11" ht="10.9" customHeight="1">
      <c r="A6" s="43" t="s">
        <v>4</v>
      </c>
      <c r="B6" s="41"/>
      <c r="C6" s="41"/>
      <c r="D6" s="42"/>
      <c r="E6" s="11"/>
      <c r="G6" s="5"/>
      <c r="H6" s="5"/>
      <c r="I6" s="118"/>
      <c r="J6" s="6"/>
    </row>
    <row r="7" spans="1:11" ht="10.9" customHeight="1">
      <c r="A7" s="41" t="s">
        <v>5</v>
      </c>
      <c r="B7" s="41"/>
      <c r="C7" s="41"/>
      <c r="D7" s="42"/>
      <c r="E7" s="11"/>
      <c r="G7" s="5"/>
      <c r="H7" s="5"/>
      <c r="I7" s="118"/>
      <c r="J7" s="6"/>
    </row>
    <row r="8" spans="1:11" ht="10.9" customHeight="1">
      <c r="A8" s="41" t="s">
        <v>6</v>
      </c>
      <c r="B8" s="41"/>
      <c r="C8" s="41"/>
      <c r="D8" s="42"/>
      <c r="E8" s="11"/>
      <c r="G8" s="5"/>
      <c r="H8" s="5"/>
      <c r="I8" s="118"/>
      <c r="J8" s="6"/>
    </row>
    <row r="9" spans="1:11" ht="10.9" customHeight="1">
      <c r="A9" s="40" t="s">
        <v>7</v>
      </c>
      <c r="B9" s="41"/>
      <c r="C9" s="41"/>
      <c r="D9" s="42"/>
      <c r="E9" s="11"/>
      <c r="G9" s="5"/>
      <c r="H9" s="5"/>
      <c r="I9" s="118"/>
      <c r="J9" s="6"/>
    </row>
    <row r="10" spans="1:11" ht="10.9" customHeight="1">
      <c r="A10" s="40" t="s">
        <v>8</v>
      </c>
      <c r="B10" s="40"/>
      <c r="C10" s="41"/>
      <c r="D10" s="42"/>
      <c r="E10" s="11"/>
      <c r="G10" s="5"/>
      <c r="H10" s="5"/>
      <c r="I10" s="118"/>
      <c r="J10" s="6"/>
    </row>
    <row r="11" spans="1:11" ht="10.9" customHeight="1">
      <c r="A11" s="40" t="s">
        <v>9</v>
      </c>
      <c r="B11" s="41"/>
      <c r="C11" s="41"/>
      <c r="D11" s="42"/>
      <c r="E11" s="11"/>
      <c r="G11" s="11"/>
      <c r="H11" s="121"/>
      <c r="I11" s="11"/>
      <c r="J11" s="6"/>
      <c r="K11" s="44"/>
    </row>
    <row r="12" spans="1:11" ht="10.9" customHeight="1">
      <c r="A12" s="113"/>
      <c r="B12" s="41"/>
      <c r="C12" s="41"/>
      <c r="D12" s="42"/>
      <c r="E12" s="11"/>
      <c r="F12" s="12" t="s">
        <v>10</v>
      </c>
      <c r="G12" s="13" t="s">
        <v>11</v>
      </c>
      <c r="H12" s="122" t="s">
        <v>12</v>
      </c>
      <c r="I12" s="119" t="s">
        <v>13</v>
      </c>
      <c r="J12" s="120" t="s">
        <v>14</v>
      </c>
      <c r="K12" s="120" t="s">
        <v>15</v>
      </c>
    </row>
    <row r="13" spans="1:11" ht="10.9" customHeight="1">
      <c r="A13" s="40"/>
      <c r="B13" s="41"/>
      <c r="C13" s="41"/>
      <c r="D13" s="42"/>
      <c r="E13" s="11"/>
      <c r="F13" s="109">
        <v>2</v>
      </c>
      <c r="G13" s="126" t="s">
        <v>17</v>
      </c>
      <c r="H13" s="127" t="s">
        <v>18</v>
      </c>
      <c r="I13" s="128">
        <v>43423</v>
      </c>
      <c r="J13" s="129">
        <v>0.70833333333333337</v>
      </c>
      <c r="K13" s="126" t="s">
        <v>19</v>
      </c>
    </row>
    <row r="14" spans="1:11" ht="10.9" customHeight="1">
      <c r="A14" s="113" t="s">
        <v>20</v>
      </c>
      <c r="B14" s="41"/>
      <c r="C14" s="41"/>
      <c r="D14" s="42"/>
      <c r="E14" s="11"/>
      <c r="F14" s="14">
        <v>1</v>
      </c>
      <c r="G14" s="126" t="s">
        <v>21</v>
      </c>
      <c r="H14" s="127" t="s">
        <v>22</v>
      </c>
      <c r="I14" s="128">
        <v>43424</v>
      </c>
      <c r="J14" s="129">
        <v>0.58333333333333337</v>
      </c>
      <c r="K14" s="126" t="s">
        <v>23</v>
      </c>
    </row>
    <row r="15" spans="1:11" ht="10.9" customHeight="1">
      <c r="A15" s="40" t="s">
        <v>24</v>
      </c>
      <c r="B15" s="45"/>
      <c r="C15" s="41"/>
      <c r="D15" s="42"/>
      <c r="E15" s="11"/>
      <c r="F15" s="17">
        <v>2</v>
      </c>
      <c r="G15" s="126" t="s">
        <v>25</v>
      </c>
      <c r="H15" s="127" t="s">
        <v>18</v>
      </c>
      <c r="I15" s="128">
        <v>43424</v>
      </c>
      <c r="J15" s="129">
        <v>0.70833333333333337</v>
      </c>
      <c r="K15" s="126" t="s">
        <v>23</v>
      </c>
    </row>
    <row r="16" spans="1:11" ht="10.9" customHeight="1">
      <c r="A16" s="40" t="s">
        <v>26</v>
      </c>
      <c r="B16" s="45"/>
      <c r="C16" s="41"/>
      <c r="D16" s="42"/>
      <c r="E16" s="11"/>
      <c r="F16" s="18">
        <v>2</v>
      </c>
      <c r="G16" s="126" t="s">
        <v>27</v>
      </c>
      <c r="H16" s="127" t="s">
        <v>22</v>
      </c>
      <c r="I16" s="128">
        <v>43424</v>
      </c>
      <c r="J16" s="129">
        <v>0.83333333333333337</v>
      </c>
      <c r="K16" s="126" t="s">
        <v>19</v>
      </c>
    </row>
    <row r="17" spans="1:17" ht="10.9" customHeight="1">
      <c r="A17" s="147" t="s">
        <v>28</v>
      </c>
      <c r="B17" s="45"/>
      <c r="C17" s="41"/>
      <c r="D17" s="42"/>
      <c r="E17" s="11"/>
      <c r="F17" s="14">
        <v>1</v>
      </c>
      <c r="G17" s="126" t="s">
        <v>29</v>
      </c>
      <c r="H17" s="127" t="s">
        <v>30</v>
      </c>
      <c r="I17" s="128">
        <v>43425</v>
      </c>
      <c r="J17" s="129">
        <v>0.45833333333333331</v>
      </c>
      <c r="K17" s="126" t="s">
        <v>23</v>
      </c>
    </row>
    <row r="18" spans="1:17" ht="10.9" customHeight="1">
      <c r="A18" s="45"/>
      <c r="B18" s="45"/>
      <c r="C18" s="41"/>
      <c r="D18" s="42"/>
      <c r="E18" s="11"/>
      <c r="F18" s="14">
        <v>1</v>
      </c>
      <c r="G18" s="126" t="s">
        <v>31</v>
      </c>
      <c r="H18" s="127" t="s">
        <v>32</v>
      </c>
      <c r="I18" s="128">
        <v>43425</v>
      </c>
      <c r="J18" s="129">
        <v>0.58333333333333337</v>
      </c>
      <c r="K18" s="126" t="s">
        <v>23</v>
      </c>
      <c r="M18" s="39">
        <v>22</v>
      </c>
    </row>
    <row r="19" spans="1:17" ht="10.9" customHeight="1">
      <c r="A19" s="46" t="s">
        <v>33</v>
      </c>
      <c r="B19" s="45"/>
      <c r="C19" s="41"/>
      <c r="D19" s="42"/>
      <c r="E19" s="11"/>
      <c r="F19" s="17">
        <v>2</v>
      </c>
      <c r="G19" s="126" t="s">
        <v>34</v>
      </c>
      <c r="H19" s="127" t="s">
        <v>30</v>
      </c>
      <c r="I19" s="128">
        <v>43425</v>
      </c>
      <c r="J19" s="129">
        <v>0.70833333333333337</v>
      </c>
      <c r="K19" s="126" t="s">
        <v>19</v>
      </c>
      <c r="M19" s="39">
        <v>22</v>
      </c>
    </row>
    <row r="20" spans="1:17" ht="10.9" customHeight="1">
      <c r="A20" s="45"/>
      <c r="B20" s="45"/>
      <c r="C20" s="41"/>
      <c r="D20" s="42"/>
      <c r="E20" s="11"/>
      <c r="F20" s="18">
        <v>1</v>
      </c>
      <c r="G20" s="126" t="s">
        <v>35</v>
      </c>
      <c r="H20" s="127" t="s">
        <v>32</v>
      </c>
      <c r="I20" s="128">
        <v>43425</v>
      </c>
      <c r="J20" s="129">
        <v>0.83333333333333337</v>
      </c>
      <c r="K20" s="126" t="s">
        <v>19</v>
      </c>
      <c r="M20" s="39">
        <v>22</v>
      </c>
    </row>
    <row r="21" spans="1:17" ht="10.9" customHeight="1">
      <c r="A21" s="46" t="s">
        <v>36</v>
      </c>
      <c r="B21" s="47"/>
      <c r="C21" s="48"/>
      <c r="D21" s="49"/>
      <c r="E21" s="11"/>
      <c r="F21" s="14">
        <v>2</v>
      </c>
      <c r="G21" s="126" t="s">
        <v>37</v>
      </c>
      <c r="H21" s="127" t="s">
        <v>38</v>
      </c>
      <c r="I21" s="128">
        <v>43426</v>
      </c>
      <c r="J21" s="129">
        <v>0.45833333333333331</v>
      </c>
      <c r="K21" s="126" t="s">
        <v>19</v>
      </c>
    </row>
    <row r="22" spans="1:17" ht="10.9" customHeight="1">
      <c r="A22" s="50"/>
      <c r="B22" s="51"/>
      <c r="C22" s="52"/>
      <c r="D22" s="53"/>
      <c r="E22" s="11"/>
      <c r="F22" s="14">
        <v>1</v>
      </c>
      <c r="G22" s="126" t="s">
        <v>39</v>
      </c>
      <c r="H22" s="127" t="s">
        <v>40</v>
      </c>
      <c r="I22" s="128">
        <v>43426</v>
      </c>
      <c r="J22" s="129">
        <v>0.58333333333333337</v>
      </c>
      <c r="K22" s="126" t="s">
        <v>19</v>
      </c>
    </row>
    <row r="23" spans="1:17" ht="10.9" customHeight="1">
      <c r="A23" s="54" t="s">
        <v>41</v>
      </c>
      <c r="B23" s="55"/>
      <c r="C23" s="55"/>
      <c r="D23" s="56"/>
      <c r="E23" s="11"/>
      <c r="F23" s="17">
        <v>1</v>
      </c>
      <c r="G23" s="126" t="s">
        <v>42</v>
      </c>
      <c r="H23" s="127" t="s">
        <v>40</v>
      </c>
      <c r="I23" s="128">
        <v>43426</v>
      </c>
      <c r="J23" s="129">
        <v>0.70833333333333337</v>
      </c>
      <c r="K23" s="126" t="s">
        <v>23</v>
      </c>
    </row>
    <row r="24" spans="1:17" ht="10.9" customHeight="1">
      <c r="A24" s="57" t="s">
        <v>18</v>
      </c>
      <c r="B24" s="58" t="s">
        <v>22</v>
      </c>
      <c r="C24" s="58" t="s">
        <v>30</v>
      </c>
      <c r="D24" s="59" t="s">
        <v>32</v>
      </c>
      <c r="E24" s="11"/>
      <c r="F24" s="18">
        <v>1</v>
      </c>
      <c r="G24" s="126" t="s">
        <v>43</v>
      </c>
      <c r="H24" s="127" t="s">
        <v>38</v>
      </c>
      <c r="I24" s="128">
        <v>43426</v>
      </c>
      <c r="J24" s="129">
        <v>0.83333333333333337</v>
      </c>
      <c r="K24" s="126" t="s">
        <v>44</v>
      </c>
    </row>
    <row r="25" spans="1:17" ht="10.9" customHeight="1">
      <c r="A25" s="60" t="s">
        <v>45</v>
      </c>
      <c r="B25" s="61" t="s">
        <v>46</v>
      </c>
      <c r="C25" s="61" t="s">
        <v>47</v>
      </c>
      <c r="D25" s="62" t="s">
        <v>48</v>
      </c>
      <c r="E25" s="11"/>
      <c r="F25" s="14" t="s">
        <v>208</v>
      </c>
      <c r="G25" s="126" t="s">
        <v>49</v>
      </c>
      <c r="H25" s="127" t="s">
        <v>50</v>
      </c>
      <c r="I25" s="128">
        <v>43427</v>
      </c>
      <c r="J25" s="129">
        <v>0.45833333333333331</v>
      </c>
      <c r="K25" s="126" t="s">
        <v>23</v>
      </c>
    </row>
    <row r="26" spans="1:17" ht="10.9" customHeight="1">
      <c r="A26" s="60" t="s">
        <v>51</v>
      </c>
      <c r="B26" s="61" t="s">
        <v>52</v>
      </c>
      <c r="C26" s="61" t="s">
        <v>53</v>
      </c>
      <c r="D26" s="62" t="s">
        <v>54</v>
      </c>
      <c r="E26" s="11"/>
      <c r="F26" s="14">
        <v>1</v>
      </c>
      <c r="G26" s="126" t="s">
        <v>55</v>
      </c>
      <c r="H26" s="127" t="s">
        <v>56</v>
      </c>
      <c r="I26" s="128">
        <v>43427</v>
      </c>
      <c r="J26" s="129">
        <v>0.58333333333333337</v>
      </c>
      <c r="K26" s="126" t="s">
        <v>23</v>
      </c>
      <c r="P26" s="115"/>
      <c r="Q26" s="116"/>
    </row>
    <row r="27" spans="1:17" ht="10.9" customHeight="1">
      <c r="A27" s="60" t="s">
        <v>57</v>
      </c>
      <c r="B27" s="61" t="s">
        <v>58</v>
      </c>
      <c r="C27" s="61" t="s">
        <v>59</v>
      </c>
      <c r="D27" s="62" t="s">
        <v>60</v>
      </c>
      <c r="E27" s="11"/>
      <c r="F27" s="17">
        <v>1</v>
      </c>
      <c r="G27" s="126" t="s">
        <v>61</v>
      </c>
      <c r="H27" s="127" t="s">
        <v>56</v>
      </c>
      <c r="I27" s="128">
        <v>43427</v>
      </c>
      <c r="J27" s="129">
        <v>0.70833333333333337</v>
      </c>
      <c r="K27" s="126" t="s">
        <v>19</v>
      </c>
    </row>
    <row r="28" spans="1:17" ht="10.9" customHeight="1">
      <c r="A28" s="60" t="s">
        <v>62</v>
      </c>
      <c r="B28" s="61" t="s">
        <v>63</v>
      </c>
      <c r="C28" s="61" t="s">
        <v>64</v>
      </c>
      <c r="D28" s="62" t="s">
        <v>65</v>
      </c>
      <c r="E28" s="11"/>
      <c r="F28" s="18">
        <v>1</v>
      </c>
      <c r="G28" s="126" t="s">
        <v>66</v>
      </c>
      <c r="H28" s="127" t="s">
        <v>67</v>
      </c>
      <c r="I28" s="128">
        <v>43427</v>
      </c>
      <c r="J28" s="129">
        <v>0.83333333333333337</v>
      </c>
      <c r="K28" s="126" t="s">
        <v>19</v>
      </c>
      <c r="Q28" s="116"/>
    </row>
    <row r="29" spans="1:17" ht="10.9" customHeight="1">
      <c r="A29" s="57"/>
      <c r="B29" s="58"/>
      <c r="C29" s="58"/>
      <c r="D29" s="59"/>
      <c r="E29" s="11"/>
      <c r="F29" s="14" t="s">
        <v>208</v>
      </c>
      <c r="G29" s="126" t="s">
        <v>68</v>
      </c>
      <c r="H29" s="127" t="s">
        <v>22</v>
      </c>
      <c r="I29" s="128">
        <v>43428</v>
      </c>
      <c r="J29" s="129">
        <v>0.45833333333333331</v>
      </c>
      <c r="K29" s="126" t="s">
        <v>19</v>
      </c>
    </row>
    <row r="30" spans="1:17" ht="10.9" customHeight="1">
      <c r="A30" s="57" t="s">
        <v>40</v>
      </c>
      <c r="B30" s="58" t="s">
        <v>38</v>
      </c>
      <c r="C30" s="58" t="s">
        <v>50</v>
      </c>
      <c r="D30" s="59" t="s">
        <v>56</v>
      </c>
      <c r="E30" s="11"/>
      <c r="F30" s="14">
        <v>2</v>
      </c>
      <c r="G30" s="126" t="s">
        <v>69</v>
      </c>
      <c r="H30" s="127" t="s">
        <v>18</v>
      </c>
      <c r="I30" s="128">
        <v>43428</v>
      </c>
      <c r="J30" s="129">
        <v>0.58333333333333337</v>
      </c>
      <c r="K30" s="126" t="s">
        <v>19</v>
      </c>
    </row>
    <row r="31" spans="1:17" ht="10.9" customHeight="1">
      <c r="A31" s="60" t="s">
        <v>70</v>
      </c>
      <c r="B31" s="61" t="s">
        <v>71</v>
      </c>
      <c r="C31" s="61" t="s">
        <v>72</v>
      </c>
      <c r="D31" s="62" t="s">
        <v>73</v>
      </c>
      <c r="E31" s="11"/>
      <c r="F31" s="17">
        <v>1</v>
      </c>
      <c r="G31" s="126" t="s">
        <v>74</v>
      </c>
      <c r="H31" s="127" t="s">
        <v>18</v>
      </c>
      <c r="I31" s="128">
        <v>43428</v>
      </c>
      <c r="J31" s="129">
        <v>0.70833333333333337</v>
      </c>
      <c r="K31" s="126" t="s">
        <v>23</v>
      </c>
      <c r="P31" s="115"/>
      <c r="Q31" s="116"/>
    </row>
    <row r="32" spans="1:17" ht="10.9" customHeight="1">
      <c r="A32" s="60" t="s">
        <v>75</v>
      </c>
      <c r="B32" s="61" t="s">
        <v>76</v>
      </c>
      <c r="C32" s="61" t="s">
        <v>77</v>
      </c>
      <c r="D32" s="62" t="s">
        <v>78</v>
      </c>
      <c r="E32" s="11"/>
      <c r="F32" s="18">
        <v>1</v>
      </c>
      <c r="G32" s="126" t="s">
        <v>79</v>
      </c>
      <c r="H32" s="127" t="s">
        <v>22</v>
      </c>
      <c r="I32" s="128">
        <v>43428</v>
      </c>
      <c r="J32" s="129">
        <v>0.83333333333333337</v>
      </c>
      <c r="K32" s="126" t="s">
        <v>44</v>
      </c>
    </row>
    <row r="33" spans="1:17" ht="10.9" customHeight="1">
      <c r="A33" s="60" t="s">
        <v>80</v>
      </c>
      <c r="B33" s="61" t="s">
        <v>81</v>
      </c>
      <c r="C33" s="61" t="s">
        <v>82</v>
      </c>
      <c r="D33" s="62" t="s">
        <v>83</v>
      </c>
      <c r="E33" s="11"/>
      <c r="F33" s="14" t="s">
        <v>208</v>
      </c>
      <c r="G33" s="126" t="s">
        <v>84</v>
      </c>
      <c r="H33" s="127" t="s">
        <v>32</v>
      </c>
      <c r="I33" s="128">
        <v>43429</v>
      </c>
      <c r="J33" s="129">
        <v>0.45833333333333331</v>
      </c>
      <c r="K33" s="126" t="s">
        <v>23</v>
      </c>
      <c r="Q33" s="116"/>
    </row>
    <row r="34" spans="1:17" ht="10.9" customHeight="1">
      <c r="A34" s="63" t="s">
        <v>85</v>
      </c>
      <c r="B34" s="64" t="s">
        <v>86</v>
      </c>
      <c r="C34" s="64" t="s">
        <v>87</v>
      </c>
      <c r="D34" s="65" t="s">
        <v>88</v>
      </c>
      <c r="E34" s="11"/>
      <c r="F34" s="14">
        <v>1</v>
      </c>
      <c r="G34" s="126" t="s">
        <v>89</v>
      </c>
      <c r="H34" s="127" t="s">
        <v>30</v>
      </c>
      <c r="I34" s="128">
        <v>43429</v>
      </c>
      <c r="J34" s="129">
        <v>0.58333333333333337</v>
      </c>
      <c r="K34" s="126" t="s">
        <v>23</v>
      </c>
    </row>
    <row r="35" spans="1:17" ht="10.9" customHeight="1">
      <c r="A35" s="50"/>
      <c r="B35" s="51"/>
      <c r="C35" s="51"/>
      <c r="D35" s="53"/>
      <c r="E35" s="11"/>
      <c r="F35" s="17">
        <v>1</v>
      </c>
      <c r="G35" s="126" t="s">
        <v>90</v>
      </c>
      <c r="H35" s="127" t="s">
        <v>32</v>
      </c>
      <c r="I35" s="128">
        <v>43429</v>
      </c>
      <c r="J35" s="129">
        <v>0.70833333333333337</v>
      </c>
      <c r="K35" s="126" t="s">
        <v>19</v>
      </c>
    </row>
    <row r="36" spans="1:17" ht="10.9" customHeight="1">
      <c r="A36" s="66" t="s">
        <v>91</v>
      </c>
      <c r="B36" s="67"/>
      <c r="C36" s="68"/>
      <c r="D36" s="69"/>
      <c r="E36" s="11"/>
      <c r="F36" s="18">
        <v>1</v>
      </c>
      <c r="G36" s="126" t="s">
        <v>92</v>
      </c>
      <c r="H36" s="127" t="s">
        <v>30</v>
      </c>
      <c r="I36" s="128">
        <v>43429</v>
      </c>
      <c r="J36" s="129">
        <v>0.83333333333333337</v>
      </c>
      <c r="K36" s="126" t="s">
        <v>19</v>
      </c>
      <c r="P36" s="115"/>
      <c r="Q36" s="116"/>
    </row>
    <row r="37" spans="1:17" ht="10.9" customHeight="1" outlineLevel="1">
      <c r="A37" s="70" t="s">
        <v>93</v>
      </c>
      <c r="B37" s="16">
        <v>43436</v>
      </c>
      <c r="C37" s="71">
        <v>0.66666666666666663</v>
      </c>
      <c r="D37" s="72"/>
      <c r="E37" s="11"/>
      <c r="F37" s="14" t="s">
        <v>208</v>
      </c>
      <c r="G37" s="126" t="s">
        <v>94</v>
      </c>
      <c r="H37" s="127" t="s">
        <v>40</v>
      </c>
      <c r="I37" s="128">
        <v>43430</v>
      </c>
      <c r="J37" s="129">
        <v>0.45833333333333331</v>
      </c>
      <c r="K37" s="126" t="s">
        <v>19</v>
      </c>
    </row>
    <row r="38" spans="1:17" ht="10.9" customHeight="1" outlineLevel="1">
      <c r="A38" s="70" t="s">
        <v>95</v>
      </c>
      <c r="B38" s="16">
        <v>43436</v>
      </c>
      <c r="C38" s="71">
        <v>0.83333333333333337</v>
      </c>
      <c r="D38" s="72"/>
      <c r="E38" s="11"/>
      <c r="F38" s="14">
        <v>1</v>
      </c>
      <c r="G38" s="126" t="s">
        <v>96</v>
      </c>
      <c r="H38" s="127" t="s">
        <v>38</v>
      </c>
      <c r="I38" s="128">
        <v>43430</v>
      </c>
      <c r="J38" s="129">
        <v>0.58333333333333337</v>
      </c>
      <c r="K38" s="126" t="s">
        <v>19</v>
      </c>
      <c r="Q38" s="116"/>
    </row>
    <row r="39" spans="1:17" ht="10.9" customHeight="1" outlineLevel="1">
      <c r="A39" s="70" t="s">
        <v>97</v>
      </c>
      <c r="B39" s="16">
        <v>43437</v>
      </c>
      <c r="C39" s="71">
        <v>0.66666666666666663</v>
      </c>
      <c r="D39" s="72"/>
      <c r="E39" s="11"/>
      <c r="F39" s="17">
        <v>1</v>
      </c>
      <c r="G39" s="126" t="s">
        <v>98</v>
      </c>
      <c r="H39" s="127" t="s">
        <v>38</v>
      </c>
      <c r="I39" s="128">
        <v>43430</v>
      </c>
      <c r="J39" s="129">
        <v>0.70833333333333337</v>
      </c>
      <c r="K39" s="126" t="s">
        <v>23</v>
      </c>
    </row>
    <row r="40" spans="1:17" ht="10.9" customHeight="1" outlineLevel="1">
      <c r="A40" s="70" t="s">
        <v>99</v>
      </c>
      <c r="B40" s="16">
        <v>43437</v>
      </c>
      <c r="C40" s="71">
        <v>0.83333333333333337</v>
      </c>
      <c r="D40" s="72"/>
      <c r="E40" s="11"/>
      <c r="F40" s="18" t="s">
        <v>208</v>
      </c>
      <c r="G40" s="126" t="s">
        <v>100</v>
      </c>
      <c r="H40" s="127" t="s">
        <v>40</v>
      </c>
      <c r="I40" s="128">
        <v>43430</v>
      </c>
      <c r="J40" s="129">
        <v>0.83333333333333337</v>
      </c>
      <c r="K40" s="126" t="s">
        <v>44</v>
      </c>
    </row>
    <row r="41" spans="1:17" ht="10.9" customHeight="1" outlineLevel="1">
      <c r="A41" s="70" t="s">
        <v>101</v>
      </c>
      <c r="B41" s="16">
        <v>43438</v>
      </c>
      <c r="C41" s="71">
        <v>0.66666666666666663</v>
      </c>
      <c r="D41" s="72"/>
      <c r="E41" s="11"/>
      <c r="F41" s="14">
        <v>2</v>
      </c>
      <c r="G41" s="126" t="s">
        <v>102</v>
      </c>
      <c r="H41" s="127" t="s">
        <v>67</v>
      </c>
      <c r="I41" s="128">
        <v>43431</v>
      </c>
      <c r="J41" s="129">
        <v>0.45833333333333331</v>
      </c>
      <c r="K41" s="126" t="s">
        <v>19</v>
      </c>
      <c r="P41" s="115"/>
      <c r="Q41" s="116"/>
    </row>
    <row r="42" spans="1:17" ht="10.9" customHeight="1" outlineLevel="1">
      <c r="A42" s="70" t="s">
        <v>103</v>
      </c>
      <c r="B42" s="16">
        <v>43438</v>
      </c>
      <c r="C42" s="71">
        <v>0.83333333333333337</v>
      </c>
      <c r="D42" s="72"/>
      <c r="E42" s="11"/>
      <c r="F42" s="14" t="s">
        <v>208</v>
      </c>
      <c r="G42" s="126" t="s">
        <v>104</v>
      </c>
      <c r="H42" s="127" t="s">
        <v>56</v>
      </c>
      <c r="I42" s="128">
        <v>43431</v>
      </c>
      <c r="J42" s="129">
        <v>0.58333333333333337</v>
      </c>
      <c r="K42" s="126" t="s">
        <v>19</v>
      </c>
      <c r="N42" s="116"/>
    </row>
    <row r="43" spans="1:17" ht="10.9" customHeight="1" outlineLevel="1">
      <c r="A43" s="70" t="s">
        <v>105</v>
      </c>
      <c r="B43" s="16">
        <v>43439</v>
      </c>
      <c r="C43" s="71">
        <v>0.66666666666666663</v>
      </c>
      <c r="D43" s="72"/>
      <c r="E43" s="11"/>
      <c r="F43" s="17">
        <v>1</v>
      </c>
      <c r="G43" s="126" t="s">
        <v>106</v>
      </c>
      <c r="H43" s="127" t="s">
        <v>67</v>
      </c>
      <c r="I43" s="128">
        <v>43431</v>
      </c>
      <c r="J43" s="129">
        <v>0.70833333333333337</v>
      </c>
      <c r="K43" s="126" t="s">
        <v>23</v>
      </c>
    </row>
    <row r="44" spans="1:17" ht="10.9" customHeight="1" outlineLevel="1">
      <c r="A44" s="70" t="s">
        <v>107</v>
      </c>
      <c r="B44" s="16">
        <v>43439</v>
      </c>
      <c r="C44" s="71">
        <v>0.83333333333333337</v>
      </c>
      <c r="D44" s="72"/>
      <c r="E44" s="11"/>
      <c r="F44" s="18">
        <v>1</v>
      </c>
      <c r="G44" s="126" t="s">
        <v>108</v>
      </c>
      <c r="H44" s="127" t="s">
        <v>56</v>
      </c>
      <c r="I44" s="128">
        <v>43431</v>
      </c>
      <c r="J44" s="129">
        <v>0.83333333333333337</v>
      </c>
      <c r="K44" s="126" t="s">
        <v>44</v>
      </c>
      <c r="N44" s="115"/>
    </row>
    <row r="45" spans="1:17" ht="10.9" customHeight="1" outlineLevel="1">
      <c r="A45" s="73" t="s">
        <v>109</v>
      </c>
      <c r="B45" s="16"/>
      <c r="C45" s="71"/>
      <c r="D45" s="74"/>
      <c r="E45" s="11"/>
      <c r="F45" s="14">
        <v>1</v>
      </c>
      <c r="G45" s="126" t="s">
        <v>110</v>
      </c>
      <c r="H45" s="127" t="s">
        <v>18</v>
      </c>
      <c r="I45" s="128">
        <v>43432</v>
      </c>
      <c r="J45" s="129">
        <v>0.66666666666666663</v>
      </c>
      <c r="K45" s="126" t="s">
        <v>19</v>
      </c>
      <c r="N45" s="116"/>
    </row>
    <row r="46" spans="1:17" ht="10.9" customHeight="1" outlineLevel="1">
      <c r="A46" s="70" t="s">
        <v>111</v>
      </c>
      <c r="B46" s="16">
        <v>43442</v>
      </c>
      <c r="C46" s="71">
        <v>0.66666666666666663</v>
      </c>
      <c r="D46" s="72"/>
      <c r="E46" s="11"/>
      <c r="F46" s="14" t="s">
        <v>208</v>
      </c>
      <c r="G46" s="126" t="s">
        <v>112</v>
      </c>
      <c r="H46" s="127" t="s">
        <v>18</v>
      </c>
      <c r="I46" s="128">
        <v>43432</v>
      </c>
      <c r="J46" s="129">
        <v>0.66666666666666663</v>
      </c>
      <c r="K46" s="126" t="s">
        <v>19</v>
      </c>
    </row>
    <row r="47" spans="1:17" ht="10.9" customHeight="1" outlineLevel="1">
      <c r="A47" s="70" t="s">
        <v>113</v>
      </c>
      <c r="B47" s="16">
        <v>43442</v>
      </c>
      <c r="C47" s="71">
        <v>0.83333333333333337</v>
      </c>
      <c r="D47" s="72"/>
      <c r="E47" s="11"/>
      <c r="F47" s="17">
        <v>2</v>
      </c>
      <c r="G47" s="126" t="s">
        <v>114</v>
      </c>
      <c r="H47" s="127" t="s">
        <v>22</v>
      </c>
      <c r="I47" s="128">
        <v>43432</v>
      </c>
      <c r="J47" s="129">
        <v>0.83333333333333337</v>
      </c>
      <c r="K47" s="126" t="s">
        <v>44</v>
      </c>
      <c r="N47" s="116"/>
    </row>
    <row r="48" spans="1:17" ht="10.9" customHeight="1" outlineLevel="1">
      <c r="A48" s="70" t="s">
        <v>115</v>
      </c>
      <c r="B48" s="16">
        <v>43443</v>
      </c>
      <c r="C48" s="71">
        <v>0.66666666666666663</v>
      </c>
      <c r="D48" s="72"/>
      <c r="E48" s="11"/>
      <c r="F48" s="18" t="s">
        <v>208</v>
      </c>
      <c r="G48" s="126" t="s">
        <v>116</v>
      </c>
      <c r="H48" s="127" t="s">
        <v>22</v>
      </c>
      <c r="I48" s="128">
        <v>43432</v>
      </c>
      <c r="J48" s="129">
        <v>0.83333333333333337</v>
      </c>
      <c r="K48" s="126" t="s">
        <v>117</v>
      </c>
    </row>
    <row r="49" spans="1:14" ht="10.9" customHeight="1" outlineLevel="1">
      <c r="A49" s="70" t="s">
        <v>118</v>
      </c>
      <c r="B49" s="16">
        <v>43443</v>
      </c>
      <c r="C49" s="71">
        <v>0.83333333333333337</v>
      </c>
      <c r="D49" s="72"/>
      <c r="E49" s="11"/>
      <c r="F49" s="14">
        <v>2</v>
      </c>
      <c r="G49" s="126" t="s">
        <v>119</v>
      </c>
      <c r="H49" s="127" t="s">
        <v>32</v>
      </c>
      <c r="I49" s="128">
        <v>43433</v>
      </c>
      <c r="J49" s="129">
        <v>0.66666666666666663</v>
      </c>
      <c r="K49" s="126" t="s">
        <v>19</v>
      </c>
      <c r="N49" s="115"/>
    </row>
    <row r="50" spans="1:14" ht="10.9" customHeight="1" outlineLevel="1">
      <c r="A50" s="73" t="s">
        <v>120</v>
      </c>
      <c r="B50" s="16"/>
      <c r="C50" s="71"/>
      <c r="D50" s="74"/>
      <c r="E50" s="11"/>
      <c r="F50" s="14">
        <v>2</v>
      </c>
      <c r="G50" s="126" t="s">
        <v>121</v>
      </c>
      <c r="H50" s="127" t="s">
        <v>32</v>
      </c>
      <c r="I50" s="128">
        <v>43433</v>
      </c>
      <c r="J50" s="129">
        <v>0.66666666666666663</v>
      </c>
      <c r="K50" s="126" t="s">
        <v>19</v>
      </c>
      <c r="N50" s="116"/>
    </row>
    <row r="51" spans="1:14" ht="10.9" customHeight="1" outlineLevel="1">
      <c r="A51" s="70" t="s">
        <v>122</v>
      </c>
      <c r="B51" s="16">
        <v>43446</v>
      </c>
      <c r="C51" s="71">
        <v>0.83333333333333337</v>
      </c>
      <c r="D51" s="72"/>
      <c r="E51" s="11"/>
      <c r="F51" s="17" t="s">
        <v>208</v>
      </c>
      <c r="G51" s="126" t="s">
        <v>123</v>
      </c>
      <c r="H51" s="127" t="s">
        <v>30</v>
      </c>
      <c r="I51" s="128">
        <v>43433</v>
      </c>
      <c r="J51" s="129">
        <v>0.83333333333333337</v>
      </c>
      <c r="K51" s="126" t="s">
        <v>44</v>
      </c>
    </row>
    <row r="52" spans="1:14" ht="10.9" customHeight="1" outlineLevel="1">
      <c r="A52" s="70" t="s">
        <v>124</v>
      </c>
      <c r="B52" s="16">
        <v>43447</v>
      </c>
      <c r="C52" s="71">
        <v>0.83333333333333337</v>
      </c>
      <c r="D52" s="72"/>
      <c r="E52" s="11"/>
      <c r="F52" s="18">
        <v>2</v>
      </c>
      <c r="G52" s="126" t="s">
        <v>125</v>
      </c>
      <c r="H52" s="127" t="s">
        <v>30</v>
      </c>
      <c r="I52" s="128">
        <v>43433</v>
      </c>
      <c r="J52" s="129">
        <v>0.83333333333333337</v>
      </c>
      <c r="K52" s="126" t="s">
        <v>117</v>
      </c>
    </row>
    <row r="53" spans="1:14" ht="10.9" customHeight="1" outlineLevel="1">
      <c r="A53" s="73" t="s">
        <v>126</v>
      </c>
      <c r="B53" s="16"/>
      <c r="C53" s="71"/>
      <c r="D53" s="74"/>
      <c r="E53" s="11"/>
      <c r="F53" s="14" t="s">
        <v>208</v>
      </c>
      <c r="G53" s="126" t="s">
        <v>127</v>
      </c>
      <c r="H53" s="127" t="s">
        <v>38</v>
      </c>
      <c r="I53" s="128">
        <v>43434</v>
      </c>
      <c r="J53" s="129">
        <v>0.66666666666666663</v>
      </c>
      <c r="K53" s="126" t="s">
        <v>23</v>
      </c>
    </row>
    <row r="54" spans="1:14" ht="10.9" customHeight="1" outlineLevel="1">
      <c r="A54" s="70" t="s">
        <v>128</v>
      </c>
      <c r="B54" s="16">
        <v>43450</v>
      </c>
      <c r="C54" s="71">
        <v>0.66666666666666663</v>
      </c>
      <c r="D54" s="72"/>
      <c r="E54" s="11"/>
      <c r="F54" s="14" t="s">
        <v>208</v>
      </c>
      <c r="G54" s="126" t="s">
        <v>129</v>
      </c>
      <c r="H54" s="127" t="s">
        <v>38</v>
      </c>
      <c r="I54" s="128">
        <v>43434</v>
      </c>
      <c r="J54" s="129">
        <v>0.66666666666666663</v>
      </c>
      <c r="K54" s="126" t="s">
        <v>130</v>
      </c>
    </row>
    <row r="55" spans="1:14" ht="10.9" customHeight="1" outlineLevel="1">
      <c r="A55" s="73" t="s">
        <v>131</v>
      </c>
      <c r="B55" s="16"/>
      <c r="C55" s="71"/>
      <c r="D55" s="74"/>
      <c r="E55" s="11"/>
      <c r="F55" s="17">
        <v>2</v>
      </c>
      <c r="G55" s="126" t="s">
        <v>132</v>
      </c>
      <c r="H55" s="127" t="s">
        <v>40</v>
      </c>
      <c r="I55" s="128">
        <v>43434</v>
      </c>
      <c r="J55" s="129">
        <v>0.83333333333333337</v>
      </c>
      <c r="K55" s="126" t="s">
        <v>19</v>
      </c>
    </row>
    <row r="56" spans="1:14" ht="10.9" customHeight="1" outlineLevel="1">
      <c r="A56" s="70" t="s">
        <v>133</v>
      </c>
      <c r="B56" s="16">
        <v>43451</v>
      </c>
      <c r="C56" s="71">
        <v>0.66666666666666663</v>
      </c>
      <c r="D56" s="72"/>
      <c r="E56" s="11"/>
      <c r="F56" s="18">
        <v>2</v>
      </c>
      <c r="G56" s="126" t="s">
        <v>134</v>
      </c>
      <c r="H56" s="127" t="s">
        <v>40</v>
      </c>
      <c r="I56" s="128">
        <v>43434</v>
      </c>
      <c r="J56" s="129">
        <v>0.83333333333333337</v>
      </c>
      <c r="K56" s="126" t="s">
        <v>19</v>
      </c>
    </row>
    <row r="57" spans="1:14" ht="10.9" customHeight="1">
      <c r="A57" s="75"/>
      <c r="B57" s="76"/>
      <c r="C57" s="77"/>
      <c r="D57" s="78"/>
      <c r="E57" s="11"/>
      <c r="F57" s="17">
        <v>2</v>
      </c>
      <c r="G57" s="126" t="s">
        <v>135</v>
      </c>
      <c r="H57" s="127" t="s">
        <v>56</v>
      </c>
      <c r="I57" s="128">
        <v>43435</v>
      </c>
      <c r="J57" s="129">
        <v>0.66666666666666663</v>
      </c>
      <c r="K57" s="126" t="s">
        <v>23</v>
      </c>
    </row>
    <row r="58" spans="1:14" ht="10.9" customHeight="1">
      <c r="A58" s="11"/>
      <c r="B58" s="11"/>
      <c r="C58" s="11"/>
      <c r="D58" s="11"/>
      <c r="E58" s="11"/>
      <c r="F58" s="18">
        <v>2</v>
      </c>
      <c r="G58" s="126" t="s">
        <v>136</v>
      </c>
      <c r="H58" s="127" t="s">
        <v>56</v>
      </c>
      <c r="I58" s="128">
        <v>43435</v>
      </c>
      <c r="J58" s="129">
        <v>0.66666666666666663</v>
      </c>
      <c r="K58" s="126" t="s">
        <v>130</v>
      </c>
    </row>
    <row r="59" spans="1:14" ht="10.9" customHeight="1">
      <c r="A59" s="132" t="s">
        <v>137</v>
      </c>
      <c r="B59" s="134" t="s">
        <v>138</v>
      </c>
      <c r="C59" s="135" t="s">
        <v>139</v>
      </c>
      <c r="D59" s="135" t="s">
        <v>140</v>
      </c>
      <c r="E59" s="132" t="s">
        <v>141</v>
      </c>
      <c r="F59" s="133">
        <v>2</v>
      </c>
      <c r="G59" s="126" t="s">
        <v>142</v>
      </c>
      <c r="H59" s="127" t="s">
        <v>50</v>
      </c>
      <c r="I59" s="128">
        <v>43435</v>
      </c>
      <c r="J59" s="129">
        <v>0.83333333333333337</v>
      </c>
      <c r="K59" s="126" t="s">
        <v>19</v>
      </c>
    </row>
    <row r="60" spans="1:14" ht="10.9" customHeight="1">
      <c r="A60" s="130" t="s">
        <v>143</v>
      </c>
      <c r="B60" s="139">
        <v>3</v>
      </c>
      <c r="C60" s="140" t="s">
        <v>144</v>
      </c>
      <c r="D60" s="141" t="s">
        <v>144</v>
      </c>
      <c r="E60" s="142">
        <v>3</v>
      </c>
      <c r="F60" s="110">
        <v>1</v>
      </c>
      <c r="G60" s="126" t="s">
        <v>145</v>
      </c>
      <c r="H60" s="127" t="s">
        <v>50</v>
      </c>
      <c r="I60" s="128">
        <v>43435</v>
      </c>
      <c r="J60" s="129">
        <v>0.83333333333333337</v>
      </c>
      <c r="K60" s="126" t="s">
        <v>19</v>
      </c>
    </row>
    <row r="61" spans="1:14" ht="10.9" customHeight="1">
      <c r="A61" s="130" t="s">
        <v>146</v>
      </c>
      <c r="B61" s="139">
        <v>2</v>
      </c>
      <c r="C61" s="140">
        <v>2</v>
      </c>
      <c r="D61" s="141" t="s">
        <v>144</v>
      </c>
      <c r="E61" s="142">
        <v>4</v>
      </c>
      <c r="G61" s="11"/>
      <c r="H61" s="121"/>
      <c r="I61" s="11"/>
      <c r="J61" s="11"/>
      <c r="K61" s="6"/>
    </row>
    <row r="62" spans="1:14" ht="10.9" customHeight="1">
      <c r="A62" s="130" t="s">
        <v>147</v>
      </c>
      <c r="B62" s="139">
        <v>1</v>
      </c>
      <c r="C62" s="140">
        <v>2</v>
      </c>
      <c r="D62" s="141">
        <v>2</v>
      </c>
      <c r="E62" s="142">
        <v>5</v>
      </c>
      <c r="F62" s="15" t="s">
        <v>148</v>
      </c>
      <c r="G62" s="11"/>
      <c r="H62" s="121"/>
      <c r="I62" s="11"/>
      <c r="J62" s="11"/>
      <c r="K62" s="6"/>
    </row>
    <row r="63" spans="1:14" ht="10.9" customHeight="1">
      <c r="A63" s="130" t="s">
        <v>149</v>
      </c>
      <c r="B63" s="139">
        <v>1</v>
      </c>
      <c r="C63" s="140">
        <v>1</v>
      </c>
      <c r="D63" s="141">
        <v>1</v>
      </c>
      <c r="E63" s="142">
        <v>3</v>
      </c>
      <c r="F63" s="111" t="s">
        <v>45</v>
      </c>
      <c r="G63" s="11"/>
      <c r="H63" s="121"/>
      <c r="I63" s="11"/>
      <c r="J63" s="11"/>
      <c r="K63" s="6"/>
    </row>
    <row r="64" spans="1:14" ht="10.9" customHeight="1">
      <c r="A64" s="130" t="s">
        <v>150</v>
      </c>
      <c r="B64" s="139">
        <v>1</v>
      </c>
      <c r="C64" s="140">
        <v>1</v>
      </c>
      <c r="D64" s="141" t="s">
        <v>144</v>
      </c>
      <c r="E64" s="142">
        <v>2</v>
      </c>
      <c r="F64" s="112" t="s">
        <v>51</v>
      </c>
      <c r="G64" s="11"/>
      <c r="H64" s="121"/>
      <c r="I64" s="11"/>
      <c r="J64" s="11"/>
      <c r="K64" s="6"/>
    </row>
    <row r="65" spans="1:11" ht="10.9" customHeight="1">
      <c r="A65" s="130" t="s">
        <v>151</v>
      </c>
      <c r="B65" s="139">
        <v>1</v>
      </c>
      <c r="C65" s="140" t="s">
        <v>144</v>
      </c>
      <c r="D65" s="141" t="s">
        <v>144</v>
      </c>
      <c r="E65" s="142">
        <v>1</v>
      </c>
      <c r="F65" s="112" t="s">
        <v>46</v>
      </c>
      <c r="G65" s="11"/>
      <c r="H65" s="121"/>
      <c r="I65" s="11"/>
      <c r="J65" s="11"/>
      <c r="K65" s="6"/>
    </row>
    <row r="66" spans="1:11" ht="10.9" customHeight="1">
      <c r="A66" s="130" t="s">
        <v>152</v>
      </c>
      <c r="B66" s="139">
        <v>1</v>
      </c>
      <c r="C66" s="140" t="s">
        <v>144</v>
      </c>
      <c r="D66" s="141" t="s">
        <v>144</v>
      </c>
      <c r="E66" s="142">
        <v>1</v>
      </c>
      <c r="F66" s="112" t="s">
        <v>63</v>
      </c>
      <c r="G66" s="11"/>
      <c r="H66" s="121"/>
      <c r="I66" s="11"/>
      <c r="J66" s="11"/>
      <c r="K66" s="6"/>
    </row>
    <row r="67" spans="1:11" ht="10.9" customHeight="1">
      <c r="A67" s="130" t="s">
        <v>153</v>
      </c>
      <c r="B67" s="139">
        <v>1</v>
      </c>
      <c r="C67" s="140" t="s">
        <v>144</v>
      </c>
      <c r="D67" s="141" t="s">
        <v>144</v>
      </c>
      <c r="E67" s="142">
        <v>1</v>
      </c>
      <c r="F67" s="112" t="s">
        <v>53</v>
      </c>
      <c r="G67" s="11"/>
      <c r="H67" s="121"/>
      <c r="I67" s="11"/>
      <c r="J67" s="11"/>
      <c r="K67" s="6"/>
    </row>
    <row r="68" spans="1:11" ht="10.9" customHeight="1">
      <c r="A68" s="130" t="s">
        <v>154</v>
      </c>
      <c r="B68" s="139" t="s">
        <v>144</v>
      </c>
      <c r="C68" s="140">
        <v>1</v>
      </c>
      <c r="D68" s="141">
        <v>1</v>
      </c>
      <c r="E68" s="142">
        <v>2</v>
      </c>
      <c r="F68" s="112" t="s">
        <v>47</v>
      </c>
      <c r="G68" s="11"/>
      <c r="H68" s="121"/>
      <c r="I68" s="11"/>
      <c r="J68" s="11"/>
      <c r="K68" s="6"/>
    </row>
    <row r="69" spans="1:11" ht="10.9" customHeight="1">
      <c r="A69" s="130" t="s">
        <v>155</v>
      </c>
      <c r="B69" s="139" t="s">
        <v>144</v>
      </c>
      <c r="C69" s="140">
        <v>1</v>
      </c>
      <c r="D69" s="141" t="s">
        <v>144</v>
      </c>
      <c r="E69" s="142">
        <v>1</v>
      </c>
      <c r="F69" s="112" t="s">
        <v>48</v>
      </c>
      <c r="G69" s="11"/>
      <c r="H69" s="121"/>
      <c r="I69" s="11"/>
      <c r="J69" s="11"/>
      <c r="K69" s="6"/>
    </row>
    <row r="70" spans="1:11" ht="10.9" customHeight="1">
      <c r="A70" s="130" t="s">
        <v>156</v>
      </c>
      <c r="B70" s="139" t="s">
        <v>144</v>
      </c>
      <c r="C70" s="140">
        <v>1</v>
      </c>
      <c r="D70" s="141" t="s">
        <v>144</v>
      </c>
      <c r="E70" s="142">
        <v>1</v>
      </c>
      <c r="F70" s="112" t="s">
        <v>54</v>
      </c>
      <c r="G70" s="11"/>
      <c r="H70" s="121"/>
      <c r="I70" s="11"/>
      <c r="J70" s="11"/>
      <c r="K70" s="6"/>
    </row>
    <row r="71" spans="1:11" ht="10.9" customHeight="1">
      <c r="A71" s="130" t="s">
        <v>157</v>
      </c>
      <c r="B71" s="139" t="s">
        <v>144</v>
      </c>
      <c r="C71" s="140">
        <v>1</v>
      </c>
      <c r="D71" s="141" t="s">
        <v>144</v>
      </c>
      <c r="E71" s="142">
        <v>1</v>
      </c>
      <c r="F71" s="112" t="s">
        <v>75</v>
      </c>
      <c r="G71" s="11"/>
      <c r="H71" s="121"/>
      <c r="I71" s="11"/>
      <c r="J71" s="11"/>
      <c r="K71" s="6"/>
    </row>
    <row r="72" spans="1:11" ht="10.9" customHeight="1">
      <c r="A72" s="130" t="s">
        <v>158</v>
      </c>
      <c r="B72" s="139" t="s">
        <v>144</v>
      </c>
      <c r="C72" s="140">
        <v>1</v>
      </c>
      <c r="D72" s="141" t="s">
        <v>144</v>
      </c>
      <c r="E72" s="142">
        <v>1</v>
      </c>
      <c r="F72" s="112" t="s">
        <v>70</v>
      </c>
      <c r="G72" s="11"/>
      <c r="H72" s="121"/>
      <c r="I72" s="11"/>
      <c r="J72" s="11"/>
      <c r="K72" s="6"/>
    </row>
    <row r="73" spans="1:11" ht="10.9" customHeight="1">
      <c r="A73" s="130" t="s">
        <v>159</v>
      </c>
      <c r="B73" s="139" t="s">
        <v>144</v>
      </c>
      <c r="C73" s="140">
        <v>1</v>
      </c>
      <c r="D73" s="141" t="s">
        <v>144</v>
      </c>
      <c r="E73" s="142">
        <v>1</v>
      </c>
      <c r="F73" s="112" t="s">
        <v>76</v>
      </c>
      <c r="G73" s="11"/>
      <c r="H73" s="121"/>
      <c r="I73" s="11"/>
      <c r="J73" s="11"/>
      <c r="K73" s="6"/>
    </row>
    <row r="74" spans="1:11" ht="10.9" customHeight="1">
      <c r="A74" s="130" t="s">
        <v>160</v>
      </c>
      <c r="B74" s="139" t="s">
        <v>144</v>
      </c>
      <c r="C74" s="140">
        <v>1</v>
      </c>
      <c r="D74" s="141" t="s">
        <v>144</v>
      </c>
      <c r="E74" s="142">
        <v>1</v>
      </c>
      <c r="F74" s="112" t="s">
        <v>71</v>
      </c>
      <c r="G74" s="11"/>
      <c r="H74" s="121"/>
      <c r="I74" s="11"/>
      <c r="J74" s="11"/>
      <c r="K74" s="6"/>
    </row>
    <row r="75" spans="1:11" ht="10.9" customHeight="1">
      <c r="A75" s="130" t="s">
        <v>161</v>
      </c>
      <c r="B75" s="139" t="s">
        <v>144</v>
      </c>
      <c r="C75" s="140">
        <v>1</v>
      </c>
      <c r="D75" s="141" t="s">
        <v>144</v>
      </c>
      <c r="E75" s="142">
        <v>1</v>
      </c>
      <c r="F75" s="112" t="s">
        <v>82</v>
      </c>
      <c r="G75" s="11"/>
      <c r="H75" s="121"/>
      <c r="I75" s="11"/>
      <c r="J75" s="11"/>
      <c r="K75" s="6"/>
    </row>
    <row r="76" spans="1:11" ht="10.9" customHeight="1">
      <c r="A76" s="130" t="s">
        <v>162</v>
      </c>
      <c r="B76" s="139" t="s">
        <v>144</v>
      </c>
      <c r="C76" s="140">
        <v>1</v>
      </c>
      <c r="D76" s="141" t="s">
        <v>144</v>
      </c>
      <c r="E76" s="142">
        <v>1</v>
      </c>
      <c r="F76" s="112" t="s">
        <v>77</v>
      </c>
      <c r="G76" s="11"/>
      <c r="H76" s="121"/>
      <c r="I76" s="11"/>
      <c r="J76" s="11"/>
      <c r="K76" s="6"/>
    </row>
    <row r="77" spans="1:11" ht="10.9" customHeight="1">
      <c r="A77" s="130" t="s">
        <v>163</v>
      </c>
      <c r="B77" s="139" t="s">
        <v>144</v>
      </c>
      <c r="C77" s="140" t="s">
        <v>144</v>
      </c>
      <c r="D77" s="141">
        <v>2</v>
      </c>
      <c r="E77" s="142">
        <v>2</v>
      </c>
      <c r="F77" s="112" t="s">
        <v>73</v>
      </c>
      <c r="G77" s="11"/>
      <c r="H77" s="121"/>
      <c r="I77" s="11"/>
      <c r="J77" s="11"/>
      <c r="K77" s="6"/>
    </row>
    <row r="78" spans="1:11" ht="10.9" customHeight="1">
      <c r="A78" s="130" t="s">
        <v>164</v>
      </c>
      <c r="B78" s="139" t="s">
        <v>144</v>
      </c>
      <c r="C78" s="140" t="s">
        <v>144</v>
      </c>
      <c r="D78" s="141">
        <v>1</v>
      </c>
      <c r="E78" s="142">
        <v>1</v>
      </c>
      <c r="F78" s="112" t="s">
        <v>78</v>
      </c>
      <c r="G78" s="11"/>
      <c r="H78" s="121"/>
      <c r="I78" s="11"/>
      <c r="J78" s="11"/>
      <c r="K78" s="6"/>
    </row>
    <row r="79" spans="1:11" ht="10.9" customHeight="1">
      <c r="A79" s="130" t="s">
        <v>165</v>
      </c>
      <c r="B79" s="139" t="s">
        <v>144</v>
      </c>
      <c r="C79" s="140" t="s">
        <v>144</v>
      </c>
      <c r="D79" s="141">
        <v>1</v>
      </c>
      <c r="E79" s="142">
        <v>1</v>
      </c>
      <c r="F79" s="79"/>
      <c r="G79" s="11"/>
      <c r="H79" s="121"/>
      <c r="I79" s="11"/>
      <c r="J79" s="11"/>
      <c r="K79" s="6"/>
    </row>
    <row r="80" spans="1:11" ht="10.9" customHeight="1">
      <c r="A80" s="130" t="s">
        <v>166</v>
      </c>
      <c r="B80" s="139" t="s">
        <v>144</v>
      </c>
      <c r="C80" s="140" t="s">
        <v>144</v>
      </c>
      <c r="D80" s="141">
        <v>1</v>
      </c>
      <c r="E80" s="142">
        <v>1</v>
      </c>
      <c r="F80" s="19"/>
      <c r="G80" s="11"/>
      <c r="H80" s="121"/>
      <c r="I80" s="11"/>
      <c r="J80" s="11"/>
      <c r="K80" s="6"/>
    </row>
    <row r="81" spans="1:11" ht="10.9" customHeight="1">
      <c r="A81" s="131" t="s">
        <v>167</v>
      </c>
      <c r="B81" s="143" t="s">
        <v>144</v>
      </c>
      <c r="C81" s="144" t="s">
        <v>144</v>
      </c>
      <c r="D81" s="145">
        <v>1</v>
      </c>
      <c r="E81" s="146">
        <v>1</v>
      </c>
      <c r="F81" s="19"/>
      <c r="G81" s="11"/>
      <c r="H81" s="121"/>
      <c r="I81" s="11"/>
      <c r="J81" s="11"/>
      <c r="K81" s="6"/>
    </row>
    <row r="82" spans="1:11" ht="10.9" customHeight="1">
      <c r="A82" s="11"/>
      <c r="B82" s="11"/>
      <c r="C82" s="11"/>
      <c r="D82" s="11"/>
      <c r="E82" s="11"/>
      <c r="F82" s="101" t="s">
        <v>168</v>
      </c>
      <c r="G82" s="11"/>
      <c r="H82" s="121"/>
      <c r="I82" s="11"/>
      <c r="J82" s="11"/>
      <c r="K82" s="6"/>
    </row>
    <row r="83" spans="1:11" ht="10.9" customHeight="1">
      <c r="A83" s="11"/>
      <c r="B83" s="11"/>
      <c r="C83" s="11"/>
      <c r="D83" s="11"/>
      <c r="E83" s="11"/>
      <c r="F83" s="21" t="s">
        <v>45</v>
      </c>
      <c r="G83" s="11"/>
      <c r="H83" s="121"/>
      <c r="I83" s="11"/>
      <c r="J83" s="11"/>
      <c r="K83" s="6"/>
    </row>
    <row r="84" spans="1:11" ht="10.9" customHeight="1">
      <c r="A84" s="11"/>
      <c r="B84" s="80" t="s">
        <v>170</v>
      </c>
      <c r="C84" s="81">
        <v>25</v>
      </c>
      <c r="D84" s="11"/>
      <c r="E84" s="11"/>
      <c r="F84" s="21" t="s">
        <v>53</v>
      </c>
      <c r="G84" s="11"/>
      <c r="H84" s="121"/>
      <c r="I84" s="11"/>
      <c r="J84" s="11"/>
      <c r="K84" s="6"/>
    </row>
    <row r="85" spans="1:11" ht="10.9" customHeight="1">
      <c r="A85" s="11"/>
      <c r="B85" s="82" t="s">
        <v>171</v>
      </c>
      <c r="C85" s="83" t="s">
        <v>172</v>
      </c>
      <c r="D85" s="20"/>
      <c r="E85" s="11"/>
      <c r="F85" s="21" t="s">
        <v>75</v>
      </c>
      <c r="G85" s="11"/>
      <c r="H85" s="121"/>
      <c r="I85" s="11"/>
      <c r="J85" s="11"/>
      <c r="K85" s="6"/>
    </row>
    <row r="86" spans="1:11" ht="10.9" customHeight="1">
      <c r="A86" s="11"/>
      <c r="B86" s="84">
        <v>1</v>
      </c>
      <c r="C86" s="85">
        <f t="shared" ref="C86:C110" si="0">0.5*(1+2*$C$84-B86)</f>
        <v>25</v>
      </c>
      <c r="D86" s="20"/>
      <c r="E86" s="11"/>
      <c r="F86" s="21" t="s">
        <v>82</v>
      </c>
      <c r="G86" s="11"/>
      <c r="H86" s="121"/>
      <c r="I86" s="11"/>
      <c r="J86" s="11"/>
      <c r="K86" s="6"/>
    </row>
    <row r="87" spans="1:11" ht="10.9" customHeight="1">
      <c r="A87" s="11"/>
      <c r="B87" s="84">
        <v>2</v>
      </c>
      <c r="C87" s="85">
        <f t="shared" si="0"/>
        <v>24.5</v>
      </c>
      <c r="D87" s="20"/>
      <c r="E87" s="11"/>
      <c r="F87" s="21" t="s">
        <v>48</v>
      </c>
      <c r="G87" s="11"/>
      <c r="H87" s="121"/>
      <c r="I87" s="11"/>
      <c r="J87" s="11"/>
      <c r="K87" s="6"/>
    </row>
    <row r="88" spans="1:11" ht="10.9" customHeight="1">
      <c r="A88" s="11"/>
      <c r="B88" s="84">
        <v>3</v>
      </c>
      <c r="C88" s="85">
        <f t="shared" si="0"/>
        <v>24</v>
      </c>
      <c r="D88" s="20"/>
      <c r="E88" s="11"/>
      <c r="F88" s="21" t="s">
        <v>46</v>
      </c>
      <c r="G88" s="11"/>
      <c r="H88" s="121"/>
      <c r="I88" s="11"/>
      <c r="J88" s="11"/>
      <c r="K88" s="6"/>
    </row>
    <row r="89" spans="1:11" ht="10.9" customHeight="1">
      <c r="A89" s="11"/>
      <c r="B89" s="84">
        <v>4</v>
      </c>
      <c r="C89" s="85">
        <f t="shared" si="0"/>
        <v>23.5</v>
      </c>
      <c r="D89" s="20"/>
      <c r="E89" s="11"/>
      <c r="F89" s="21" t="s">
        <v>70</v>
      </c>
      <c r="G89" s="11"/>
      <c r="H89" s="121"/>
      <c r="I89" s="11"/>
      <c r="J89" s="11"/>
      <c r="K89" s="6"/>
    </row>
    <row r="90" spans="1:11" ht="10.9" customHeight="1">
      <c r="A90" s="11"/>
      <c r="B90" s="84">
        <v>5</v>
      </c>
      <c r="C90" s="85">
        <f t="shared" si="0"/>
        <v>23</v>
      </c>
      <c r="D90" s="20"/>
      <c r="E90" s="11"/>
      <c r="F90" s="21" t="s">
        <v>73</v>
      </c>
      <c r="G90" s="11"/>
      <c r="H90" s="121"/>
      <c r="I90" s="11"/>
      <c r="J90" s="11"/>
      <c r="K90" s="6"/>
    </row>
    <row r="91" spans="1:11" ht="10.9" customHeight="1">
      <c r="A91" s="11"/>
      <c r="B91" s="84">
        <v>6</v>
      </c>
      <c r="C91" s="85">
        <f t="shared" si="0"/>
        <v>22.5</v>
      </c>
      <c r="D91" s="20"/>
      <c r="E91" s="11"/>
      <c r="F91" s="19"/>
      <c r="G91" s="11"/>
      <c r="H91" s="121"/>
      <c r="I91" s="11"/>
      <c r="J91" s="11"/>
      <c r="K91" s="6"/>
    </row>
    <row r="92" spans="1:11" ht="10.9" customHeight="1">
      <c r="A92" s="11"/>
      <c r="B92" s="84">
        <v>7</v>
      </c>
      <c r="C92" s="85">
        <f t="shared" si="0"/>
        <v>22</v>
      </c>
      <c r="D92" s="20"/>
      <c r="E92" s="11"/>
      <c r="G92" s="11"/>
      <c r="H92" s="121"/>
      <c r="I92" s="11"/>
      <c r="J92" s="11"/>
      <c r="K92" s="6"/>
    </row>
    <row r="93" spans="1:11" ht="10.9" customHeight="1">
      <c r="A93" s="11"/>
      <c r="B93" s="84">
        <v>8</v>
      </c>
      <c r="C93" s="85">
        <f t="shared" si="0"/>
        <v>21.5</v>
      </c>
      <c r="D93" s="20"/>
      <c r="E93" s="11"/>
      <c r="F93" s="19"/>
      <c r="G93" s="11"/>
      <c r="H93" s="121"/>
      <c r="I93" s="11"/>
      <c r="J93" s="11"/>
      <c r="K93" s="6"/>
    </row>
    <row r="94" spans="1:11" ht="10.9" customHeight="1">
      <c r="A94" s="11"/>
      <c r="B94" s="84">
        <v>9</v>
      </c>
      <c r="C94" s="85">
        <f t="shared" si="0"/>
        <v>21</v>
      </c>
      <c r="D94" s="20"/>
      <c r="E94" s="11"/>
      <c r="F94" s="19"/>
      <c r="G94" s="11"/>
      <c r="H94" s="121"/>
      <c r="I94" s="11"/>
      <c r="J94" s="11"/>
      <c r="K94" s="6"/>
    </row>
    <row r="95" spans="1:11" ht="10.9" customHeight="1">
      <c r="A95" s="11"/>
      <c r="B95" s="84">
        <v>10</v>
      </c>
      <c r="C95" s="85">
        <f t="shared" si="0"/>
        <v>20.5</v>
      </c>
      <c r="D95" s="20"/>
      <c r="E95" s="11"/>
      <c r="F95" s="79"/>
      <c r="G95" s="11"/>
      <c r="H95" s="121"/>
      <c r="I95" s="11"/>
      <c r="J95" s="11"/>
      <c r="K95" s="6"/>
    </row>
    <row r="96" spans="1:11" ht="10.9" customHeight="1">
      <c r="A96" s="11"/>
      <c r="B96" s="84">
        <v>11</v>
      </c>
      <c r="C96" s="85">
        <f t="shared" si="0"/>
        <v>20</v>
      </c>
      <c r="D96" s="20"/>
      <c r="E96" s="11"/>
      <c r="F96" s="19"/>
      <c r="G96" s="11"/>
      <c r="H96" s="121"/>
      <c r="I96" s="11"/>
      <c r="J96" s="11"/>
      <c r="K96" s="6"/>
    </row>
    <row r="97" spans="1:11" ht="10.9" customHeight="1">
      <c r="A97" s="11"/>
      <c r="B97" s="84">
        <v>12</v>
      </c>
      <c r="C97" s="85">
        <f t="shared" si="0"/>
        <v>19.5</v>
      </c>
      <c r="D97" s="20"/>
      <c r="E97" s="11"/>
      <c r="F97" s="19"/>
      <c r="G97" s="11"/>
      <c r="H97" s="121"/>
      <c r="I97" s="11"/>
      <c r="J97" s="11"/>
      <c r="K97" s="6"/>
    </row>
    <row r="98" spans="1:11" ht="10.9" customHeight="1">
      <c r="A98" s="11"/>
      <c r="B98" s="84">
        <v>13</v>
      </c>
      <c r="C98" s="85">
        <f t="shared" si="0"/>
        <v>19</v>
      </c>
      <c r="D98" s="20"/>
      <c r="E98" s="11"/>
      <c r="F98" s="19"/>
      <c r="G98" s="11"/>
      <c r="H98" s="121"/>
      <c r="I98" s="11"/>
      <c r="J98" s="11"/>
      <c r="K98" s="6"/>
    </row>
    <row r="99" spans="1:11" ht="10.9" customHeight="1">
      <c r="A99" s="11"/>
      <c r="B99" s="84">
        <v>14</v>
      </c>
      <c r="C99" s="85">
        <f t="shared" si="0"/>
        <v>18.5</v>
      </c>
      <c r="D99" s="20"/>
      <c r="E99" s="11"/>
      <c r="F99" s="102" t="s">
        <v>173</v>
      </c>
      <c r="G99" s="11"/>
      <c r="H99" s="121"/>
      <c r="I99" s="11"/>
      <c r="J99" s="11"/>
      <c r="K99" s="6"/>
    </row>
    <row r="100" spans="1:11" ht="10.9" customHeight="1">
      <c r="A100" s="11"/>
      <c r="B100" s="84">
        <v>15</v>
      </c>
      <c r="C100" s="85">
        <f t="shared" si="0"/>
        <v>18</v>
      </c>
      <c r="D100" s="20"/>
      <c r="E100" s="11"/>
      <c r="F100" s="21" t="s">
        <v>53</v>
      </c>
      <c r="G100" s="11"/>
      <c r="H100" s="121"/>
      <c r="I100" s="11"/>
      <c r="J100" s="11"/>
      <c r="K100" s="6"/>
    </row>
    <row r="101" spans="1:11" ht="10.9" customHeight="1">
      <c r="A101" s="11"/>
      <c r="B101" s="84">
        <v>16</v>
      </c>
      <c r="C101" s="85">
        <f t="shared" si="0"/>
        <v>17.5</v>
      </c>
      <c r="D101" s="20"/>
      <c r="E101" s="11"/>
      <c r="F101" s="21" t="s">
        <v>82</v>
      </c>
      <c r="G101" s="11"/>
      <c r="H101" s="121"/>
      <c r="I101" s="11"/>
      <c r="J101" s="11"/>
      <c r="K101" s="6"/>
    </row>
    <row r="102" spans="1:11" ht="10.9" customHeight="1">
      <c r="A102" s="11"/>
      <c r="B102" s="84">
        <v>17</v>
      </c>
      <c r="C102" s="85">
        <f t="shared" si="0"/>
        <v>17</v>
      </c>
      <c r="D102" s="20"/>
      <c r="E102" s="11"/>
      <c r="F102" s="21" t="s">
        <v>48</v>
      </c>
      <c r="G102" s="11"/>
      <c r="H102" s="121"/>
      <c r="I102" s="11"/>
      <c r="J102" s="11"/>
      <c r="K102" s="6"/>
    </row>
    <row r="103" spans="1:11" ht="10.9" customHeight="1">
      <c r="A103" s="11"/>
      <c r="B103" s="84">
        <v>18</v>
      </c>
      <c r="C103" s="85">
        <f t="shared" si="0"/>
        <v>16.5</v>
      </c>
      <c r="D103" s="20"/>
      <c r="E103" s="11"/>
      <c r="F103" s="21" t="s">
        <v>73</v>
      </c>
      <c r="G103" s="11"/>
      <c r="H103" s="121"/>
      <c r="I103" s="11"/>
      <c r="J103" s="11"/>
      <c r="K103" s="6"/>
    </row>
    <row r="104" spans="1:11" ht="10.9" customHeight="1">
      <c r="A104" s="11"/>
      <c r="B104" s="84">
        <v>19</v>
      </c>
      <c r="C104" s="85">
        <f t="shared" si="0"/>
        <v>16</v>
      </c>
      <c r="D104" s="20"/>
      <c r="E104" s="11"/>
      <c r="F104" s="19"/>
      <c r="G104" s="11"/>
      <c r="H104" s="121"/>
      <c r="I104" s="11"/>
      <c r="J104" s="11"/>
      <c r="K104" s="6"/>
    </row>
    <row r="105" spans="1:11" ht="10.9" customHeight="1">
      <c r="A105" s="11"/>
      <c r="B105" s="84">
        <v>20</v>
      </c>
      <c r="C105" s="85">
        <f t="shared" si="0"/>
        <v>15.5</v>
      </c>
      <c r="D105" s="20"/>
      <c r="E105" s="11"/>
      <c r="F105" s="19"/>
      <c r="G105" s="11"/>
      <c r="H105" s="121"/>
      <c r="I105" s="11"/>
      <c r="J105" s="11"/>
      <c r="K105" s="6"/>
    </row>
    <row r="106" spans="1:11" ht="10.9" customHeight="1">
      <c r="A106" s="11"/>
      <c r="B106" s="84">
        <v>21</v>
      </c>
      <c r="C106" s="85">
        <f t="shared" si="0"/>
        <v>15</v>
      </c>
      <c r="D106" s="11"/>
      <c r="E106" s="11"/>
      <c r="F106" s="19"/>
      <c r="G106" s="11"/>
      <c r="H106" s="121"/>
      <c r="I106" s="11"/>
      <c r="J106" s="11"/>
      <c r="K106" s="6"/>
    </row>
    <row r="107" spans="1:11" ht="10.9" customHeight="1">
      <c r="A107" s="11"/>
      <c r="B107" s="84">
        <v>22</v>
      </c>
      <c r="C107" s="85">
        <f t="shared" si="0"/>
        <v>14.5</v>
      </c>
      <c r="D107" s="11"/>
      <c r="E107" s="11"/>
      <c r="F107" s="19"/>
      <c r="G107" s="11"/>
      <c r="H107" s="121"/>
      <c r="I107" s="11"/>
      <c r="J107" s="11"/>
      <c r="K107" s="6"/>
    </row>
    <row r="108" spans="1:11" ht="10.9" customHeight="1">
      <c r="A108" s="11"/>
      <c r="B108" s="84">
        <v>23</v>
      </c>
      <c r="C108" s="85">
        <f t="shared" si="0"/>
        <v>14</v>
      </c>
      <c r="D108" s="11"/>
      <c r="E108" s="11"/>
      <c r="F108" s="19"/>
      <c r="G108" s="11"/>
      <c r="H108" s="121"/>
      <c r="I108" s="11"/>
      <c r="J108" s="11"/>
      <c r="K108" s="6"/>
    </row>
    <row r="109" spans="1:11" ht="10.9" customHeight="1">
      <c r="A109" s="11"/>
      <c r="B109" s="84">
        <v>24</v>
      </c>
      <c r="C109" s="85">
        <f t="shared" si="0"/>
        <v>13.5</v>
      </c>
      <c r="D109" s="11"/>
      <c r="E109" s="11"/>
      <c r="F109" s="19"/>
      <c r="G109" s="11"/>
      <c r="H109" s="121"/>
      <c r="I109" s="11"/>
      <c r="J109" s="11"/>
      <c r="K109" s="6"/>
    </row>
    <row r="110" spans="1:11" ht="10.9" customHeight="1">
      <c r="A110" s="11"/>
      <c r="B110" s="84">
        <v>25</v>
      </c>
      <c r="C110" s="85">
        <f t="shared" si="0"/>
        <v>13</v>
      </c>
      <c r="D110" s="11"/>
      <c r="E110" s="11"/>
      <c r="F110" s="19"/>
      <c r="G110" s="11"/>
      <c r="H110" s="121"/>
      <c r="I110" s="11"/>
      <c r="J110" s="11"/>
      <c r="K110" s="6"/>
    </row>
    <row r="111" spans="1:11" ht="10.9" customHeight="1">
      <c r="A111" s="11"/>
      <c r="B111" s="86">
        <v>0</v>
      </c>
      <c r="C111" s="87">
        <f>C86+0.5</f>
        <v>25.5</v>
      </c>
      <c r="D111" s="11"/>
      <c r="E111" s="11"/>
      <c r="F111" s="22"/>
      <c r="G111" s="11"/>
      <c r="H111" s="121"/>
      <c r="I111" s="11"/>
      <c r="J111" s="11"/>
      <c r="K111" s="6"/>
    </row>
    <row r="112" spans="1:11" ht="10.9" customHeight="1">
      <c r="A112" s="11"/>
      <c r="B112" s="88" t="s">
        <v>174</v>
      </c>
      <c r="C112" s="89"/>
      <c r="D112" s="11"/>
      <c r="E112" s="11"/>
      <c r="F112" s="19"/>
      <c r="G112" s="11"/>
      <c r="H112" s="121"/>
      <c r="I112" s="11"/>
      <c r="J112" s="11"/>
      <c r="K112" s="6"/>
    </row>
    <row r="113" spans="1:11" ht="10.9" customHeight="1">
      <c r="A113" s="11"/>
      <c r="B113" s="11"/>
      <c r="C113" s="11"/>
      <c r="D113" s="11"/>
      <c r="E113" s="11"/>
      <c r="F113" s="19"/>
      <c r="G113" s="11"/>
      <c r="H113" s="121"/>
      <c r="I113" s="11"/>
      <c r="J113" s="11"/>
      <c r="K113" s="6"/>
    </row>
    <row r="114" spans="1:11" ht="10.9" customHeight="1">
      <c r="A114" s="11"/>
      <c r="B114" s="11"/>
      <c r="C114" s="11"/>
      <c r="D114" s="11"/>
      <c r="E114" s="11"/>
      <c r="F114" s="19"/>
      <c r="G114" s="11"/>
      <c r="H114" s="121"/>
      <c r="I114" s="11"/>
      <c r="J114" s="11"/>
      <c r="K114" s="6"/>
    </row>
    <row r="115" spans="1:11" ht="10.9" customHeight="1">
      <c r="A115" s="11"/>
      <c r="B115" s="11"/>
      <c r="C115" s="11"/>
      <c r="D115" s="11"/>
      <c r="E115" s="11"/>
      <c r="F115" s="19"/>
      <c r="G115" s="11"/>
      <c r="H115" s="121"/>
      <c r="I115" s="11"/>
      <c r="J115" s="11"/>
      <c r="K115" s="6"/>
    </row>
    <row r="116" spans="1:11" ht="10.9" customHeight="1">
      <c r="A116" s="11"/>
      <c r="B116" s="11"/>
      <c r="C116" s="11"/>
      <c r="D116" s="11"/>
      <c r="E116" s="11"/>
      <c r="F116" s="19"/>
      <c r="G116" s="11"/>
      <c r="H116" s="121"/>
      <c r="I116" s="11"/>
      <c r="J116" s="11"/>
      <c r="K116" s="6"/>
    </row>
    <row r="117" spans="1:11" ht="10.9" customHeight="1">
      <c r="A117" s="11"/>
      <c r="B117" s="11"/>
      <c r="C117" s="11"/>
      <c r="D117" s="11"/>
      <c r="E117" s="11"/>
      <c r="F117" s="102" t="s">
        <v>175</v>
      </c>
      <c r="G117" s="11"/>
      <c r="H117" s="121"/>
      <c r="I117" s="11"/>
      <c r="J117" s="11"/>
      <c r="K117" s="6"/>
    </row>
    <row r="118" spans="1:11" ht="10.9" customHeight="1">
      <c r="A118" s="11"/>
      <c r="B118" s="11"/>
      <c r="C118" s="11"/>
      <c r="D118" s="11"/>
      <c r="E118" s="11"/>
      <c r="F118" s="21" t="s">
        <v>82</v>
      </c>
      <c r="G118" s="11"/>
      <c r="H118" s="121"/>
      <c r="I118" s="11"/>
      <c r="J118" s="11"/>
      <c r="K118" s="6"/>
    </row>
    <row r="119" spans="1:11" ht="10.9" customHeight="1">
      <c r="A119" s="11"/>
      <c r="B119" s="11"/>
      <c r="C119" s="11"/>
      <c r="D119" s="11"/>
      <c r="E119" s="11"/>
      <c r="F119" s="21" t="s">
        <v>48</v>
      </c>
      <c r="G119" s="11"/>
      <c r="H119" s="121"/>
      <c r="I119" s="11"/>
      <c r="J119" s="11"/>
      <c r="K119" s="6"/>
    </row>
    <row r="120" spans="1:11" ht="10.9" customHeight="1">
      <c r="A120" s="11"/>
      <c r="B120" s="11"/>
      <c r="C120" s="11"/>
      <c r="D120" s="11"/>
      <c r="E120" s="11"/>
      <c r="F120" s="19"/>
      <c r="G120" s="11"/>
      <c r="H120" s="121"/>
      <c r="I120" s="11"/>
      <c r="J120" s="11"/>
      <c r="K120" s="6"/>
    </row>
    <row r="121" spans="1:11" ht="10.9" customHeight="1">
      <c r="A121" s="11"/>
      <c r="B121" s="90"/>
      <c r="C121" s="11"/>
      <c r="D121" s="11"/>
      <c r="E121" s="11"/>
      <c r="F121" s="19"/>
      <c r="G121" s="11"/>
      <c r="H121" s="121"/>
      <c r="I121" s="11"/>
      <c r="J121" s="11"/>
      <c r="K121" s="6"/>
    </row>
    <row r="122" spans="1:11" ht="10.9" customHeight="1">
      <c r="A122" s="11"/>
      <c r="B122" s="90"/>
      <c r="C122" s="11"/>
      <c r="D122" s="11"/>
      <c r="E122" s="11"/>
      <c r="F122" s="19"/>
      <c r="G122" s="11"/>
      <c r="H122" s="121"/>
      <c r="I122" s="11"/>
      <c r="J122" s="11"/>
      <c r="K122" s="6"/>
    </row>
    <row r="123" spans="1:11" ht="11.25">
      <c r="A123" s="11"/>
      <c r="B123" s="11"/>
      <c r="C123" s="11"/>
      <c r="D123" s="11"/>
      <c r="E123" s="11"/>
      <c r="F123" s="137"/>
      <c r="G123" s="11"/>
      <c r="H123" s="121"/>
      <c r="I123" s="11"/>
      <c r="J123" s="11"/>
      <c r="K123" s="6"/>
    </row>
    <row r="124" spans="1:11" ht="10.9" customHeight="1">
      <c r="A124" s="11"/>
      <c r="B124" s="11"/>
      <c r="C124" s="11"/>
      <c r="D124" s="11"/>
      <c r="E124" s="11"/>
      <c r="F124" s="137"/>
      <c r="G124" s="11"/>
      <c r="H124" s="121"/>
      <c r="I124" s="11"/>
      <c r="J124" s="11"/>
      <c r="K124" s="6"/>
    </row>
    <row r="125" spans="1:11" ht="10.9" customHeight="1">
      <c r="A125" s="11"/>
      <c r="B125" s="11"/>
      <c r="C125" s="11"/>
      <c r="D125" s="11"/>
      <c r="E125" s="11"/>
      <c r="F125" s="19"/>
      <c r="G125" s="11"/>
      <c r="H125" s="121"/>
      <c r="I125" s="11"/>
      <c r="J125" s="11"/>
      <c r="K125" s="6"/>
    </row>
    <row r="126" spans="1:11" ht="10.9" customHeight="1">
      <c r="A126" s="11"/>
      <c r="B126" s="11"/>
      <c r="C126" s="11"/>
      <c r="D126" s="11"/>
      <c r="E126" s="11"/>
      <c r="G126" s="11"/>
      <c r="H126" s="121"/>
      <c r="I126" s="11"/>
      <c r="J126" s="11"/>
      <c r="K126" s="6"/>
    </row>
    <row r="127" spans="1:11" ht="10.9" customHeight="1">
      <c r="A127" s="11"/>
      <c r="B127" s="11"/>
      <c r="C127" s="11"/>
      <c r="D127" s="11"/>
      <c r="E127" s="11"/>
      <c r="F127" s="22"/>
      <c r="G127" s="11"/>
      <c r="H127" s="121"/>
      <c r="I127" s="11"/>
      <c r="J127" s="11"/>
      <c r="K127" s="6"/>
    </row>
    <row r="128" spans="1:11" ht="10.9" customHeight="1">
      <c r="A128" s="11"/>
      <c r="B128" s="11"/>
      <c r="C128" s="11"/>
      <c r="D128" s="11"/>
      <c r="E128" s="11"/>
      <c r="F128" s="19"/>
      <c r="G128" s="11"/>
      <c r="H128" s="121"/>
      <c r="I128" s="11"/>
      <c r="J128" s="11"/>
      <c r="K128" s="6"/>
    </row>
    <row r="129" spans="1:11" ht="10.9" customHeight="1">
      <c r="A129" s="11"/>
      <c r="B129" s="11"/>
      <c r="C129" s="11"/>
      <c r="D129" s="11"/>
      <c r="E129" s="11"/>
      <c r="F129" s="19"/>
      <c r="G129" s="11"/>
      <c r="H129" s="121"/>
      <c r="I129" s="11"/>
      <c r="J129" s="11"/>
      <c r="K129" s="6"/>
    </row>
    <row r="130" spans="1:11" ht="10.9" customHeight="1">
      <c r="A130" s="11"/>
      <c r="B130" s="11"/>
      <c r="C130" s="11"/>
      <c r="D130" s="11"/>
      <c r="E130" s="11"/>
      <c r="F130" s="19"/>
      <c r="G130" s="11"/>
      <c r="H130" s="121"/>
      <c r="I130" s="11"/>
      <c r="J130" s="11"/>
      <c r="K130" s="6"/>
    </row>
    <row r="131" spans="1:11" ht="10.9" customHeight="1">
      <c r="A131" s="11"/>
      <c r="B131" s="11"/>
      <c r="C131" s="11"/>
      <c r="D131" s="11"/>
      <c r="E131" s="11"/>
      <c r="F131" s="19"/>
      <c r="G131" s="11"/>
      <c r="H131" s="121"/>
      <c r="I131" s="11"/>
      <c r="J131" s="11"/>
      <c r="K131" s="6"/>
    </row>
    <row r="132" spans="1:11" ht="10.9" customHeight="1">
      <c r="A132" s="11"/>
      <c r="B132" s="11"/>
      <c r="C132" s="11"/>
      <c r="D132" s="11"/>
      <c r="E132" s="11"/>
      <c r="F132" s="19"/>
      <c r="G132" s="11"/>
      <c r="H132" s="121"/>
      <c r="I132" s="11"/>
      <c r="J132" s="11"/>
      <c r="K132" s="6"/>
    </row>
    <row r="133" spans="1:11" ht="10.9" customHeight="1">
      <c r="A133" s="11"/>
      <c r="B133" s="11"/>
      <c r="C133" s="11"/>
      <c r="D133" s="11"/>
      <c r="E133" s="11"/>
      <c r="F133" s="102" t="s">
        <v>176</v>
      </c>
      <c r="G133" s="11"/>
      <c r="H133" s="121"/>
      <c r="I133" s="11"/>
      <c r="J133" s="11"/>
      <c r="K133" s="6"/>
    </row>
    <row r="134" spans="1:11" ht="10.9" customHeight="1">
      <c r="A134" s="11"/>
      <c r="B134" s="11"/>
      <c r="C134" s="11"/>
      <c r="D134" s="11"/>
      <c r="E134" s="11"/>
      <c r="F134" s="21" t="s">
        <v>53</v>
      </c>
      <c r="G134" s="11"/>
      <c r="H134" s="121"/>
      <c r="I134" s="11"/>
      <c r="J134" s="11"/>
      <c r="K134" s="6"/>
    </row>
    <row r="135" spans="1:11" ht="10.9" customHeight="1">
      <c r="A135" s="11"/>
      <c r="B135" s="11"/>
      <c r="C135" s="11"/>
      <c r="D135" s="11"/>
      <c r="E135" s="11"/>
      <c r="F135" s="19"/>
      <c r="G135" s="11"/>
      <c r="H135" s="121"/>
      <c r="I135" s="11"/>
      <c r="J135" s="11"/>
      <c r="K135" s="6"/>
    </row>
    <row r="136" spans="1:11" ht="10.9" customHeight="1">
      <c r="A136" s="11"/>
      <c r="B136" s="11"/>
      <c r="C136" s="11"/>
      <c r="D136" s="11"/>
      <c r="E136" s="11"/>
      <c r="F136" s="19"/>
      <c r="G136" s="11"/>
      <c r="H136" s="121"/>
      <c r="I136" s="11"/>
      <c r="J136" s="11"/>
      <c r="K136" s="6"/>
    </row>
    <row r="137" spans="1:11" ht="10.9" customHeight="1">
      <c r="A137" s="11"/>
      <c r="B137" s="90"/>
      <c r="C137" s="11"/>
      <c r="D137" s="11"/>
      <c r="E137" s="11"/>
      <c r="F137" s="19"/>
      <c r="G137" s="11"/>
      <c r="H137" s="121"/>
      <c r="I137" s="11"/>
      <c r="J137" s="11"/>
      <c r="K137" s="6"/>
    </row>
    <row r="138" spans="1:11" ht="10.9" customHeight="1">
      <c r="A138" s="11"/>
      <c r="B138" s="90"/>
      <c r="C138" s="11"/>
      <c r="D138" s="11"/>
      <c r="E138" s="11"/>
      <c r="F138" s="19"/>
      <c r="G138" s="11"/>
      <c r="H138" s="121"/>
      <c r="I138" s="11"/>
      <c r="J138" s="11"/>
      <c r="K138" s="6"/>
    </row>
    <row r="139" spans="1:11" ht="11.25">
      <c r="A139" s="11"/>
      <c r="B139" s="11"/>
      <c r="C139" s="11"/>
      <c r="D139" s="11"/>
      <c r="E139" s="11"/>
      <c r="F139" s="137"/>
      <c r="G139" s="11"/>
      <c r="H139" s="121"/>
      <c r="I139" s="11"/>
      <c r="J139" s="11"/>
      <c r="K139" s="6"/>
    </row>
    <row r="140" spans="1:11" ht="10.9" customHeight="1">
      <c r="A140" s="11"/>
      <c r="B140" s="11"/>
      <c r="C140" s="11"/>
      <c r="D140" s="11"/>
      <c r="E140" s="11"/>
      <c r="F140" s="137"/>
      <c r="G140" s="11"/>
      <c r="H140" s="121"/>
      <c r="I140" s="11"/>
      <c r="J140" s="11"/>
      <c r="K140" s="6"/>
    </row>
    <row r="141" spans="1:11" ht="10.9" customHeight="1">
      <c r="A141" s="11"/>
      <c r="B141" s="11"/>
      <c r="C141" s="11"/>
      <c r="D141" s="11"/>
      <c r="E141" s="11"/>
      <c r="F141" s="19"/>
      <c r="G141" s="11"/>
      <c r="H141" s="121"/>
      <c r="I141" s="11"/>
      <c r="J141" s="11"/>
      <c r="K141" s="6"/>
    </row>
    <row r="142" spans="1:11" ht="10.9" customHeight="1">
      <c r="A142" s="11"/>
      <c r="B142" s="11"/>
      <c r="C142" s="11"/>
      <c r="D142" s="11"/>
      <c r="E142" s="11"/>
      <c r="G142" s="11"/>
      <c r="H142" s="121"/>
      <c r="I142" s="11"/>
      <c r="J142" s="11"/>
      <c r="K142" s="6"/>
    </row>
    <row r="143" spans="1:11" ht="10.9" customHeight="1">
      <c r="A143" s="11"/>
      <c r="B143" s="11"/>
      <c r="C143" s="11"/>
      <c r="D143" s="11"/>
      <c r="E143" s="11"/>
      <c r="F143" s="79"/>
      <c r="G143" s="11"/>
      <c r="H143" s="121"/>
      <c r="I143" s="11"/>
      <c r="J143" s="11"/>
      <c r="K143" s="6"/>
    </row>
    <row r="144" spans="1:11" ht="10.9" customHeight="1">
      <c r="A144" s="11"/>
      <c r="B144" s="11"/>
      <c r="C144" s="11"/>
      <c r="D144" s="11"/>
      <c r="E144" s="11"/>
      <c r="G144" s="11"/>
      <c r="H144" s="121"/>
      <c r="I144" s="11"/>
      <c r="J144" s="11"/>
      <c r="K144" s="6"/>
    </row>
    <row r="145" spans="1:11" ht="10.9" customHeight="1">
      <c r="A145" s="11"/>
      <c r="B145" s="11"/>
      <c r="C145" s="11"/>
      <c r="D145" s="11"/>
      <c r="E145" s="11"/>
      <c r="G145" s="11"/>
      <c r="H145" s="121"/>
      <c r="I145" s="11"/>
      <c r="J145" s="11"/>
      <c r="K145" s="6"/>
    </row>
    <row r="146" spans="1:11" ht="10.9" customHeight="1">
      <c r="A146" s="11"/>
      <c r="B146" s="11"/>
      <c r="C146" s="11"/>
      <c r="D146" s="11"/>
      <c r="E146" s="11"/>
      <c r="G146" s="11"/>
      <c r="H146" s="121"/>
      <c r="I146" s="11"/>
      <c r="J146" s="11"/>
      <c r="K146" s="6"/>
    </row>
    <row r="147" spans="1:11" ht="10.9" customHeight="1">
      <c r="A147" s="11"/>
      <c r="B147" s="11"/>
      <c r="C147" s="11"/>
      <c r="D147" s="11"/>
      <c r="E147" s="11"/>
      <c r="G147" s="11"/>
      <c r="H147" s="121"/>
      <c r="I147" s="11"/>
      <c r="J147" s="11"/>
      <c r="K147" s="6"/>
    </row>
    <row r="148" spans="1:11" ht="10.9" customHeight="1">
      <c r="A148" s="11"/>
      <c r="B148" s="11"/>
      <c r="C148" s="11"/>
      <c r="D148" s="11"/>
      <c r="E148" s="11"/>
      <c r="G148" s="11"/>
      <c r="H148" s="121"/>
      <c r="I148" s="11"/>
      <c r="J148" s="11"/>
      <c r="K148" s="6"/>
    </row>
    <row r="149" spans="1:11" ht="10.9" customHeight="1">
      <c r="A149" s="11"/>
      <c r="B149" s="11"/>
      <c r="C149" s="11"/>
      <c r="D149" s="11"/>
      <c r="E149" s="11"/>
      <c r="F149" s="15" t="s">
        <v>177</v>
      </c>
      <c r="G149" s="11"/>
      <c r="H149" s="121"/>
      <c r="I149" s="11"/>
      <c r="J149" s="11"/>
      <c r="K149" s="6"/>
    </row>
    <row r="150" spans="1:11" ht="10.9" customHeight="1">
      <c r="A150" s="11"/>
      <c r="B150" s="11"/>
      <c r="C150" s="11"/>
      <c r="D150" s="11"/>
      <c r="E150" s="11"/>
      <c r="F150" s="21" t="s">
        <v>82</v>
      </c>
      <c r="G150" s="11"/>
      <c r="H150" s="121"/>
      <c r="I150" s="11"/>
      <c r="J150" s="11"/>
      <c r="K150" s="6"/>
    </row>
    <row r="151" spans="1:11" ht="10.9" customHeight="1">
      <c r="A151" s="11"/>
      <c r="B151" s="11"/>
      <c r="C151" s="11"/>
      <c r="D151" s="11"/>
      <c r="E151" s="11"/>
      <c r="G151" s="11"/>
      <c r="H151" s="121"/>
      <c r="I151" s="11"/>
      <c r="J151" s="11"/>
      <c r="K151" s="6"/>
    </row>
    <row r="152" spans="1:11" ht="10.9" customHeight="1">
      <c r="A152" s="11"/>
      <c r="B152" s="11"/>
      <c r="C152" s="11"/>
      <c r="D152" s="11"/>
      <c r="E152" s="11"/>
      <c r="G152" s="11"/>
      <c r="H152" s="121"/>
      <c r="I152" s="11"/>
      <c r="J152" s="11"/>
      <c r="K152" s="6"/>
    </row>
    <row r="153" spans="1:11" ht="11.25" customHeight="1">
      <c r="A153" s="11"/>
      <c r="B153" s="11"/>
      <c r="C153" s="11"/>
      <c r="D153" s="11"/>
      <c r="E153" s="11"/>
      <c r="F153" s="138" t="s">
        <v>178</v>
      </c>
      <c r="G153" s="11"/>
      <c r="H153" s="121"/>
      <c r="I153" s="11"/>
      <c r="J153" s="11"/>
      <c r="K153" s="6"/>
    </row>
    <row r="154" spans="1:11" ht="52.5" customHeight="1">
      <c r="A154" s="11"/>
      <c r="B154" s="11"/>
      <c r="C154" s="11"/>
      <c r="D154" s="11"/>
      <c r="E154" s="11"/>
      <c r="F154" s="148" t="s">
        <v>179</v>
      </c>
      <c r="G154" s="11"/>
      <c r="H154" s="121"/>
      <c r="I154" s="11"/>
      <c r="J154" s="11"/>
      <c r="K154" s="6"/>
    </row>
    <row r="155" spans="1:11" ht="10.9" customHeight="1">
      <c r="A155" s="11"/>
      <c r="B155" s="11"/>
      <c r="C155" s="11"/>
      <c r="D155" s="11"/>
      <c r="E155" s="11"/>
      <c r="F155" s="149">
        <f>IF(E118+E119+E120&gt;0,0.75*30,0)</f>
        <v>0</v>
      </c>
      <c r="G155" s="11"/>
      <c r="H155" s="121"/>
      <c r="I155" s="11"/>
      <c r="J155" s="11"/>
      <c r="K155" s="6"/>
    </row>
    <row r="156" spans="1:11" ht="10.9" customHeight="1">
      <c r="A156" s="11"/>
      <c r="B156" s="11"/>
      <c r="C156" s="11"/>
      <c r="D156" s="11"/>
      <c r="E156" s="11"/>
      <c r="G156" s="11"/>
      <c r="H156" s="121"/>
      <c r="I156" s="11"/>
      <c r="J156" s="11"/>
      <c r="K156" s="6"/>
    </row>
    <row r="157" spans="1:11" ht="10.9" customHeight="1">
      <c r="A157" s="11"/>
      <c r="B157" s="11"/>
      <c r="C157" s="11"/>
      <c r="D157" s="11"/>
      <c r="E157" s="11"/>
      <c r="G157" s="11"/>
      <c r="H157" s="121"/>
      <c r="I157" s="11"/>
      <c r="J157" s="11"/>
      <c r="K157" s="6"/>
    </row>
    <row r="158" spans="1:11" ht="10.9" customHeight="1">
      <c r="A158" s="11"/>
      <c r="B158" s="11"/>
      <c r="C158" s="11"/>
      <c r="D158" s="11"/>
      <c r="E158" s="11"/>
      <c r="F158" s="114" t="s">
        <v>180</v>
      </c>
      <c r="G158" s="11"/>
      <c r="H158" s="121"/>
      <c r="I158" s="11"/>
      <c r="J158" s="11"/>
      <c r="K158" s="6"/>
    </row>
    <row r="159" spans="1:11" ht="10.9" customHeight="1">
      <c r="A159" s="11"/>
      <c r="B159" s="11"/>
      <c r="C159" s="11"/>
      <c r="D159" s="11"/>
      <c r="E159" s="11"/>
      <c r="F159" s="91" t="s">
        <v>181</v>
      </c>
      <c r="G159" s="11"/>
      <c r="H159" s="121"/>
      <c r="I159" s="11"/>
      <c r="J159" s="11"/>
      <c r="K159" s="6"/>
    </row>
    <row r="160" spans="1:11" ht="10.9" customHeight="1">
      <c r="A160" s="11"/>
      <c r="B160" s="11"/>
      <c r="C160" s="11"/>
      <c r="D160" s="11"/>
      <c r="E160" s="11"/>
      <c r="F160" s="23" t="s">
        <v>182</v>
      </c>
      <c r="G160" s="92" t="s">
        <v>183</v>
      </c>
      <c r="H160" s="124"/>
      <c r="I160" s="92"/>
      <c r="J160" s="92"/>
      <c r="K160" s="93"/>
    </row>
    <row r="161" spans="1:11" ht="10.9" customHeight="1">
      <c r="A161" s="11"/>
      <c r="B161" s="11"/>
      <c r="C161" s="11"/>
      <c r="D161" s="11"/>
      <c r="E161" s="11"/>
      <c r="F161" s="94">
        <v>0</v>
      </c>
      <c r="G161" s="11"/>
      <c r="H161" s="121"/>
      <c r="I161" s="11"/>
      <c r="J161" s="11"/>
      <c r="K161" s="6"/>
    </row>
    <row r="162" spans="1:11" ht="10.9" customHeight="1">
      <c r="A162" s="11"/>
      <c r="B162" s="11"/>
      <c r="C162" s="11"/>
      <c r="D162" s="11"/>
      <c r="E162" s="11"/>
      <c r="F162" s="91" t="s">
        <v>184</v>
      </c>
      <c r="G162" s="11"/>
      <c r="H162" s="121"/>
      <c r="I162" s="11"/>
      <c r="J162" s="11"/>
      <c r="K162" s="6"/>
    </row>
    <row r="163" spans="1:11" ht="10.9" customHeight="1">
      <c r="A163" s="11"/>
      <c r="B163" s="11"/>
      <c r="C163" s="11"/>
      <c r="D163" s="11"/>
      <c r="E163" s="11"/>
      <c r="F163" s="23" t="s">
        <v>185</v>
      </c>
      <c r="G163" s="11"/>
      <c r="H163" s="121"/>
      <c r="I163" s="11"/>
      <c r="J163" s="11"/>
      <c r="K163" s="6"/>
    </row>
    <row r="164" spans="1:11" ht="10.9" customHeight="1">
      <c r="A164" s="11"/>
      <c r="B164" s="11"/>
      <c r="C164" s="11"/>
      <c r="D164" s="11"/>
      <c r="E164" s="11"/>
      <c r="F164" s="94" t="s">
        <v>50</v>
      </c>
      <c r="G164" s="11"/>
      <c r="H164" s="121"/>
      <c r="I164" s="11"/>
      <c r="J164" s="11"/>
      <c r="K164" s="6"/>
    </row>
    <row r="165" spans="1:11" ht="10.9" customHeight="1">
      <c r="A165" s="11"/>
      <c r="B165" s="11"/>
      <c r="C165" s="11"/>
      <c r="D165" s="11"/>
      <c r="E165" s="11"/>
      <c r="F165" s="91" t="s">
        <v>186</v>
      </c>
      <c r="G165" s="11"/>
      <c r="H165" s="121"/>
      <c r="I165" s="11"/>
      <c r="J165" s="11"/>
      <c r="K165" s="6"/>
    </row>
    <row r="166" spans="1:11" ht="10.9" customHeight="1">
      <c r="A166" s="11"/>
      <c r="B166" s="11"/>
      <c r="C166" s="11"/>
      <c r="D166" s="11"/>
      <c r="E166" s="11"/>
      <c r="F166" s="136" t="s">
        <v>187</v>
      </c>
      <c r="G166" s="92" t="s">
        <v>188</v>
      </c>
      <c r="H166" s="124"/>
      <c r="I166" s="92"/>
      <c r="J166" s="92"/>
      <c r="K166" s="93"/>
    </row>
    <row r="167" spans="1:11" ht="10.9" customHeight="1">
      <c r="A167" s="11"/>
      <c r="B167" s="11"/>
      <c r="C167" s="11"/>
      <c r="D167" s="11"/>
      <c r="E167" s="11"/>
      <c r="F167" s="10">
        <v>7</v>
      </c>
      <c r="G167" s="11"/>
      <c r="H167" s="121"/>
      <c r="I167" s="11"/>
      <c r="J167" s="11"/>
      <c r="K167" s="6"/>
    </row>
    <row r="168" spans="1:11" ht="10.9" customHeight="1">
      <c r="A168" s="11"/>
      <c r="B168" s="11"/>
      <c r="C168" s="11"/>
      <c r="D168" s="11"/>
      <c r="E168" s="11"/>
      <c r="F168" s="91" t="s">
        <v>189</v>
      </c>
      <c r="G168" s="11"/>
      <c r="H168" s="121"/>
      <c r="I168" s="11"/>
      <c r="J168" s="11"/>
      <c r="K168" s="6"/>
    </row>
    <row r="169" spans="1:11" ht="10.9" customHeight="1">
      <c r="A169" s="11"/>
      <c r="B169" s="11"/>
      <c r="C169" s="11"/>
      <c r="D169" s="11"/>
      <c r="E169" s="11"/>
      <c r="F169" s="112" t="s">
        <v>190</v>
      </c>
      <c r="G169" s="92" t="s">
        <v>191</v>
      </c>
      <c r="H169" s="124"/>
      <c r="I169" s="92"/>
      <c r="J169" s="92"/>
      <c r="K169" s="93"/>
    </row>
    <row r="170" spans="1:11" ht="10.9" customHeight="1">
      <c r="A170" s="11"/>
      <c r="B170" s="11"/>
      <c r="C170" s="11"/>
      <c r="D170" s="11"/>
      <c r="E170" s="11"/>
      <c r="F170" s="94">
        <v>5</v>
      </c>
      <c r="G170" s="11"/>
      <c r="H170" s="121"/>
      <c r="I170" s="11"/>
      <c r="J170" s="11"/>
      <c r="K170" s="6"/>
    </row>
    <row r="171" spans="1:11" ht="10.9" customHeight="1">
      <c r="A171" s="11"/>
      <c r="B171" s="11"/>
      <c r="C171" s="11"/>
      <c r="D171" s="11"/>
      <c r="E171" s="11"/>
      <c r="F171" s="91" t="s">
        <v>192</v>
      </c>
      <c r="G171" s="11"/>
      <c r="H171" s="121"/>
      <c r="I171" s="11"/>
      <c r="J171" s="11"/>
      <c r="K171" s="6"/>
    </row>
    <row r="172" spans="1:11" ht="10.9" customHeight="1">
      <c r="A172" s="11"/>
      <c r="B172" s="11"/>
      <c r="C172" s="11"/>
      <c r="D172" s="11"/>
      <c r="E172" s="11"/>
      <c r="F172" s="23" t="s">
        <v>193</v>
      </c>
      <c r="G172" s="92" t="s">
        <v>194</v>
      </c>
      <c r="H172" s="92"/>
      <c r="I172" s="92"/>
      <c r="J172" s="92"/>
      <c r="K172" s="6"/>
    </row>
    <row r="173" spans="1:11" ht="10.9" customHeight="1">
      <c r="A173" s="11"/>
      <c r="B173" s="11"/>
      <c r="C173" s="11"/>
      <c r="D173" s="11"/>
      <c r="E173" s="11"/>
      <c r="F173" s="94" t="s">
        <v>264</v>
      </c>
      <c r="G173" s="11"/>
      <c r="H173" s="121"/>
      <c r="I173" s="11"/>
      <c r="J173" s="11"/>
      <c r="K173" s="6"/>
    </row>
    <row r="174" spans="1:11" ht="10.9" customHeight="1">
      <c r="A174" s="11"/>
      <c r="B174" s="11"/>
      <c r="C174" s="11"/>
      <c r="D174" s="11"/>
      <c r="E174" s="11"/>
      <c r="G174" s="11"/>
      <c r="H174" s="121"/>
      <c r="I174" s="11"/>
      <c r="J174" s="11"/>
      <c r="K174" s="6"/>
    </row>
    <row r="175" spans="1:11" ht="10.9" customHeight="1">
      <c r="A175" s="11"/>
      <c r="B175" s="11"/>
      <c r="C175" s="11"/>
      <c r="D175" s="11"/>
      <c r="E175" s="11"/>
      <c r="F175" s="91" t="s">
        <v>195</v>
      </c>
      <c r="G175" s="11"/>
      <c r="H175" s="121"/>
      <c r="I175" s="11"/>
      <c r="J175" s="11"/>
      <c r="K175" s="6"/>
    </row>
    <row r="176" spans="1:11" ht="10.9" customHeight="1">
      <c r="A176" s="11"/>
      <c r="B176" s="11"/>
      <c r="C176" s="11"/>
      <c r="D176" s="11"/>
      <c r="E176" s="11"/>
      <c r="F176" s="23" t="s">
        <v>196</v>
      </c>
      <c r="G176" s="92" t="s">
        <v>197</v>
      </c>
      <c r="H176" s="124"/>
      <c r="I176" s="92"/>
      <c r="J176" s="92"/>
      <c r="K176" s="93"/>
    </row>
    <row r="177" spans="1:13" ht="10.9" customHeight="1">
      <c r="A177" s="11"/>
      <c r="B177" s="11"/>
      <c r="C177" s="11"/>
      <c r="D177" s="11"/>
      <c r="E177" s="11"/>
      <c r="F177" s="94" t="s">
        <v>265</v>
      </c>
      <c r="G177" s="11"/>
      <c r="H177" s="121"/>
      <c r="I177" s="11"/>
      <c r="J177" s="11"/>
      <c r="K177" s="6"/>
    </row>
    <row r="178" spans="1:13" ht="10.9" customHeight="1">
      <c r="A178" s="11"/>
      <c r="B178" s="11"/>
      <c r="C178" s="11"/>
      <c r="D178" s="11"/>
      <c r="E178" s="11"/>
      <c r="F178" s="91" t="s">
        <v>198</v>
      </c>
      <c r="G178" s="11"/>
      <c r="H178" s="121"/>
      <c r="I178" s="11"/>
      <c r="J178" s="11"/>
      <c r="K178" s="6"/>
    </row>
    <row r="179" spans="1:13" ht="10.9" customHeight="1">
      <c r="A179" s="11"/>
      <c r="B179" s="11"/>
      <c r="C179" s="11"/>
      <c r="D179" s="11"/>
      <c r="E179" s="11"/>
      <c r="F179" s="24" t="s">
        <v>190</v>
      </c>
      <c r="G179" s="95" t="s">
        <v>199</v>
      </c>
      <c r="H179" s="125"/>
      <c r="I179" s="95"/>
      <c r="J179" s="95"/>
      <c r="K179" s="96"/>
    </row>
    <row r="180" spans="1:13" ht="10.9" customHeight="1">
      <c r="A180" s="11"/>
      <c r="B180" s="11"/>
      <c r="C180" s="11"/>
      <c r="D180" s="11"/>
      <c r="E180" s="11"/>
      <c r="F180" s="104">
        <v>12</v>
      </c>
      <c r="G180" s="11"/>
      <c r="H180" s="121"/>
      <c r="I180" s="11"/>
      <c r="J180" s="11"/>
      <c r="K180" s="11"/>
    </row>
    <row r="181" spans="1:13" ht="10.9" customHeight="1">
      <c r="A181" s="11"/>
      <c r="B181" s="11"/>
      <c r="C181" s="11"/>
      <c r="D181" s="11"/>
      <c r="E181" s="11"/>
      <c r="F181" s="105" t="s">
        <v>200</v>
      </c>
      <c r="G181" s="11"/>
      <c r="H181" s="121"/>
      <c r="I181" s="11"/>
      <c r="J181" s="11"/>
      <c r="K181" s="11"/>
    </row>
    <row r="182" spans="1:13" ht="10.9" customHeight="1">
      <c r="A182" s="11"/>
      <c r="B182" s="11"/>
      <c r="C182" s="11"/>
      <c r="D182" s="11"/>
      <c r="E182" s="11"/>
      <c r="F182" s="105" t="s">
        <v>201</v>
      </c>
      <c r="G182" s="11"/>
      <c r="H182" s="121"/>
      <c r="I182" s="11"/>
      <c r="J182" s="11"/>
      <c r="K182" s="11"/>
    </row>
    <row r="183" spans="1:13" ht="10.9" customHeight="1">
      <c r="A183" s="11"/>
      <c r="B183" s="11"/>
      <c r="C183" s="11"/>
      <c r="D183" s="11"/>
      <c r="E183" s="11"/>
      <c r="F183" s="105" t="s">
        <v>202</v>
      </c>
      <c r="G183" s="11"/>
      <c r="H183" s="121"/>
      <c r="I183" s="11"/>
      <c r="J183" s="11"/>
      <c r="K183" s="11"/>
    </row>
    <row r="184" spans="1:13" ht="10.9" customHeight="1">
      <c r="A184" s="11"/>
      <c r="B184" s="11"/>
      <c r="C184" s="11"/>
      <c r="D184" s="11"/>
      <c r="E184" s="11"/>
      <c r="F184" s="105" t="s">
        <v>203</v>
      </c>
      <c r="G184" s="11"/>
      <c r="H184" s="121"/>
      <c r="I184" s="11"/>
      <c r="J184" s="11"/>
      <c r="K184" s="11"/>
    </row>
    <row r="185" spans="1:13" ht="10.9" customHeight="1">
      <c r="A185" s="11"/>
      <c r="B185" s="11"/>
      <c r="C185" s="11"/>
      <c r="D185" s="11"/>
      <c r="E185" s="11"/>
      <c r="F185" s="105" t="s">
        <v>204</v>
      </c>
      <c r="G185" s="11"/>
      <c r="H185" s="121"/>
      <c r="I185" s="11"/>
      <c r="J185" s="11"/>
      <c r="K185" s="11"/>
    </row>
    <row r="186" spans="1:13" ht="10.9" customHeight="1">
      <c r="A186" s="11"/>
      <c r="B186" s="11"/>
      <c r="C186" s="11"/>
      <c r="D186" s="11"/>
      <c r="E186" s="11"/>
      <c r="F186" s="105" t="s">
        <v>205</v>
      </c>
      <c r="G186" s="11"/>
      <c r="H186" s="121"/>
      <c r="I186" s="11"/>
      <c r="J186" s="11"/>
      <c r="K186" s="11"/>
    </row>
    <row r="187" spans="1:13" ht="10.9" customHeight="1">
      <c r="A187" s="11"/>
      <c r="B187" s="11"/>
      <c r="C187" s="11"/>
      <c r="D187" s="11"/>
      <c r="E187" s="11"/>
      <c r="F187" s="104"/>
      <c r="G187" s="11"/>
      <c r="H187" s="121"/>
      <c r="I187" s="11"/>
      <c r="J187" s="11"/>
      <c r="K187" s="11"/>
    </row>
    <row r="188" spans="1:13" ht="10.9" customHeight="1">
      <c r="A188" s="11"/>
      <c r="B188" s="11"/>
      <c r="C188" s="11"/>
      <c r="D188" s="11"/>
      <c r="E188" s="11"/>
      <c r="F188" s="106" t="s">
        <v>206</v>
      </c>
      <c r="G188" s="11"/>
      <c r="H188" s="121"/>
      <c r="I188" s="11"/>
      <c r="J188" s="11"/>
      <c r="K188" s="11"/>
    </row>
    <row r="189" spans="1:13" ht="10.9" customHeight="1">
      <c r="A189" s="11"/>
      <c r="B189" s="11"/>
      <c r="C189" s="11"/>
      <c r="D189" s="11"/>
      <c r="E189" s="11"/>
      <c r="F189" s="104"/>
      <c r="G189" s="11"/>
      <c r="H189" s="121"/>
      <c r="I189" s="11"/>
      <c r="J189" s="11"/>
      <c r="K189" s="11"/>
    </row>
    <row r="190" spans="1:13" ht="10.5" customHeight="1">
      <c r="A190" s="11"/>
      <c r="B190" s="11"/>
      <c r="C190" s="11"/>
      <c r="D190" s="11"/>
      <c r="E190" s="11"/>
      <c r="F190" s="104"/>
      <c r="G190" s="11"/>
      <c r="H190" s="121"/>
      <c r="I190" s="11"/>
      <c r="J190" s="11"/>
      <c r="K190" s="11"/>
    </row>
    <row r="191" spans="1:13" ht="10.5" customHeight="1">
      <c r="A191" s="11"/>
      <c r="B191" s="11"/>
      <c r="C191" s="11"/>
      <c r="D191" s="11"/>
      <c r="E191" s="11"/>
      <c r="F191" s="104"/>
      <c r="G191" s="11"/>
      <c r="H191" s="121"/>
      <c r="I191" s="11"/>
      <c r="J191" s="11"/>
      <c r="K191" s="11"/>
    </row>
    <row r="192" spans="1:13" ht="10.5" customHeight="1">
      <c r="A192" s="11"/>
      <c r="B192" s="11"/>
      <c r="C192" s="11"/>
      <c r="D192" s="11"/>
      <c r="E192" s="11"/>
      <c r="F192" s="104"/>
      <c r="G192" s="11"/>
      <c r="H192" s="121"/>
      <c r="I192" s="11"/>
      <c r="J192" s="11"/>
      <c r="K192" s="11"/>
      <c r="M192" s="116"/>
    </row>
    <row r="193" spans="1:14" ht="10.5" customHeight="1">
      <c r="A193" s="11"/>
      <c r="B193" s="11"/>
      <c r="C193" s="11"/>
      <c r="D193" s="11"/>
      <c r="E193" s="11"/>
      <c r="F193" s="104"/>
      <c r="G193" s="11"/>
      <c r="H193" s="121"/>
      <c r="I193" s="11"/>
      <c r="J193" s="11"/>
      <c r="K193" s="11"/>
    </row>
    <row r="194" spans="1:14" ht="10.5" hidden="1" customHeight="1">
      <c r="B194" s="97" t="s">
        <v>207</v>
      </c>
      <c r="C194" s="31"/>
      <c r="D194" s="31"/>
      <c r="E194" s="31"/>
      <c r="F194" s="104"/>
      <c r="M194" s="115"/>
    </row>
    <row r="195" spans="1:14" ht="10.5" hidden="1" customHeight="1">
      <c r="B195" s="98"/>
      <c r="C195" s="31"/>
      <c r="D195" s="31"/>
      <c r="E195" s="31"/>
      <c r="F195" s="104"/>
      <c r="M195" s="116"/>
    </row>
    <row r="196" spans="1:14" ht="10.5" hidden="1" customHeight="1">
      <c r="B196" s="30" t="s">
        <v>16</v>
      </c>
      <c r="C196" s="31"/>
      <c r="D196" s="31"/>
      <c r="E196" s="31"/>
      <c r="F196" s="104"/>
    </row>
    <row r="197" spans="1:14" ht="10.5" hidden="1" customHeight="1">
      <c r="B197" s="99">
        <v>1</v>
      </c>
      <c r="C197" s="31"/>
      <c r="D197" s="31"/>
      <c r="E197" s="31"/>
      <c r="F197" s="104"/>
      <c r="M197" s="115"/>
    </row>
    <row r="198" spans="1:14" ht="10.5" hidden="1" customHeight="1">
      <c r="B198" s="30" t="s">
        <v>208</v>
      </c>
      <c r="C198" s="31"/>
      <c r="D198" s="31"/>
      <c r="E198" s="31"/>
      <c r="F198" s="104"/>
      <c r="M198" s="116"/>
    </row>
    <row r="199" spans="1:14" ht="10.5" hidden="1" customHeight="1">
      <c r="B199" s="30">
        <v>2</v>
      </c>
      <c r="C199" s="31"/>
      <c r="D199" s="31"/>
      <c r="E199" s="31"/>
      <c r="F199" s="104"/>
    </row>
    <row r="200" spans="1:14" ht="10.5" hidden="1" customHeight="1">
      <c r="B200" s="31"/>
      <c r="C200" s="31"/>
      <c r="D200" s="31"/>
      <c r="E200" s="31"/>
      <c r="F200" s="104"/>
      <c r="M200" s="115"/>
    </row>
    <row r="201" spans="1:14" ht="10.5" hidden="1" customHeight="1">
      <c r="B201" s="100" t="s">
        <v>18</v>
      </c>
      <c r="C201" s="100" t="s">
        <v>22</v>
      </c>
      <c r="D201" s="100" t="s">
        <v>30</v>
      </c>
      <c r="E201" s="100" t="s">
        <v>32</v>
      </c>
      <c r="F201" s="107"/>
      <c r="M201" s="116"/>
    </row>
    <row r="202" spans="1:14" ht="10.5" hidden="1" customHeight="1">
      <c r="B202" s="31" t="str">
        <f>A25</f>
        <v>Nederländerna (8)</v>
      </c>
      <c r="C202" s="31" t="str">
        <f>B25</f>
        <v>England (5)</v>
      </c>
      <c r="D202" s="31" t="str">
        <f>C25</f>
        <v>Polen (26)</v>
      </c>
      <c r="E202" s="31" t="str">
        <f>D25</f>
        <v>Frankrike (4)</v>
      </c>
      <c r="F202" s="104"/>
    </row>
    <row r="203" spans="1:14" ht="10.5" hidden="1" customHeight="1">
      <c r="B203" s="31" t="str">
        <f t="shared" ref="B203:C205" si="1">A26</f>
        <v>Ecuador (44)</v>
      </c>
      <c r="C203" s="31" t="str">
        <f t="shared" si="1"/>
        <v>USA (16)</v>
      </c>
      <c r="D203" s="31" t="str">
        <f t="shared" ref="D203:E205" si="2">C26</f>
        <v>Argentina (3)</v>
      </c>
      <c r="E203" s="31" t="str">
        <f t="shared" si="2"/>
        <v>Danmark (10)</v>
      </c>
      <c r="F203" s="104"/>
      <c r="M203" s="115"/>
    </row>
    <row r="204" spans="1:14" ht="10.5" hidden="1" customHeight="1">
      <c r="B204" s="31" t="str">
        <f t="shared" si="1"/>
        <v>Senegal  (18)</v>
      </c>
      <c r="C204" s="31" t="str">
        <f t="shared" si="1"/>
        <v>Iran (20)</v>
      </c>
      <c r="D204" s="31" t="str">
        <f t="shared" si="2"/>
        <v>Mexiko (13)</v>
      </c>
      <c r="E204" s="31" t="str">
        <f t="shared" si="2"/>
        <v>Tunisien (30)</v>
      </c>
      <c r="F204" s="104"/>
      <c r="M204" s="116"/>
    </row>
    <row r="205" spans="1:14" ht="10.5" hidden="1" customHeight="1">
      <c r="B205" s="31" t="str">
        <f t="shared" si="1"/>
        <v>Qatar (50)</v>
      </c>
      <c r="C205" s="31" t="str">
        <f t="shared" si="1"/>
        <v>Wales (19)</v>
      </c>
      <c r="D205" s="31" t="str">
        <f t="shared" si="2"/>
        <v>Saudiarabien  (51)</v>
      </c>
      <c r="E205" s="31" t="str">
        <f t="shared" si="2"/>
        <v>Australien (38)</v>
      </c>
      <c r="F205" s="104"/>
    </row>
    <row r="206" spans="1:14" ht="10.5" hidden="1" customHeight="1">
      <c r="B206" s="97" t="s">
        <v>40</v>
      </c>
      <c r="C206" s="97" t="s">
        <v>38</v>
      </c>
      <c r="D206" s="97" t="s">
        <v>50</v>
      </c>
      <c r="E206" s="97" t="s">
        <v>56</v>
      </c>
      <c r="F206" s="104"/>
    </row>
    <row r="207" spans="1:14" ht="10.5" hidden="1" customHeight="1">
      <c r="B207" s="31" t="str">
        <f>A31</f>
        <v>Tyskland (11)</v>
      </c>
      <c r="C207" s="31" t="str">
        <f>B31</f>
        <v>Kroatien (12)</v>
      </c>
      <c r="D207" s="31" t="str">
        <f>C31</f>
        <v>Schweiz (15)</v>
      </c>
      <c r="E207" s="31" t="str">
        <f>D31</f>
        <v>Portugal (9)</v>
      </c>
      <c r="F207" s="104"/>
    </row>
    <row r="208" spans="1:14" ht="10.5" hidden="1" customHeight="1">
      <c r="B208" s="31" t="str">
        <f t="shared" ref="B208:E210" si="3">A32</f>
        <v>Spanien (7)</v>
      </c>
      <c r="C208" s="31" t="str">
        <f t="shared" si="3"/>
        <v>Belgien (2)</v>
      </c>
      <c r="D208" s="31" t="str">
        <f t="shared" si="3"/>
        <v>Serbien (21)</v>
      </c>
      <c r="E208" s="31" t="str">
        <f t="shared" si="3"/>
        <v>Uruguay (14)</v>
      </c>
      <c r="F208" s="104"/>
      <c r="N208" s="116"/>
    </row>
    <row r="209" spans="2:14" ht="10.5" hidden="1" customHeight="1">
      <c r="B209" s="31" t="str">
        <f t="shared" si="3"/>
        <v>Costa Rica (31)</v>
      </c>
      <c r="C209" s="31" t="str">
        <f t="shared" si="3"/>
        <v>Kanada (41)</v>
      </c>
      <c r="D209" s="31" t="str">
        <f t="shared" si="3"/>
        <v>Brasilien (1)</v>
      </c>
      <c r="E209" s="31" t="str">
        <f t="shared" si="3"/>
        <v>Ghana (61)</v>
      </c>
      <c r="F209" s="104"/>
      <c r="N209" s="116"/>
    </row>
    <row r="210" spans="2:14" ht="10.5" hidden="1" customHeight="1">
      <c r="B210" s="31" t="str">
        <f t="shared" si="3"/>
        <v>Japan (24)</v>
      </c>
      <c r="C210" s="31" t="str">
        <f t="shared" si="3"/>
        <v>Marocko (22)</v>
      </c>
      <c r="D210" s="31" t="str">
        <f t="shared" si="3"/>
        <v>Kamerun (43)</v>
      </c>
      <c r="E210" s="31" t="str">
        <f t="shared" si="3"/>
        <v>Sydkorea  (28)</v>
      </c>
      <c r="F210" s="104"/>
    </row>
    <row r="211" spans="2:14" ht="10.5" hidden="1" customHeight="1">
      <c r="B211" s="25"/>
      <c r="C211" s="35"/>
      <c r="D211" s="35"/>
      <c r="E211" s="35"/>
      <c r="F211" s="104"/>
      <c r="N211" s="116"/>
    </row>
    <row r="212" spans="2:14" ht="10.5" hidden="1" customHeight="1">
      <c r="B212" s="25" t="s">
        <v>169</v>
      </c>
      <c r="C212" s="26" t="s">
        <v>209</v>
      </c>
      <c r="D212" s="26" t="s">
        <v>210</v>
      </c>
      <c r="E212" s="26" t="s">
        <v>211</v>
      </c>
      <c r="F212" s="104"/>
      <c r="G212" s="35"/>
      <c r="N212" s="116"/>
    </row>
    <row r="213" spans="2:14" ht="10.5" hidden="1" customHeight="1">
      <c r="B213" s="25" t="s">
        <v>53</v>
      </c>
      <c r="C213" s="26">
        <v>0</v>
      </c>
      <c r="D213" s="26">
        <v>0</v>
      </c>
      <c r="E213" s="26">
        <v>0</v>
      </c>
      <c r="F213" s="104"/>
      <c r="G213" s="35"/>
    </row>
    <row r="214" spans="2:14" ht="10.5" hidden="1" customHeight="1">
      <c r="B214" s="25" t="s">
        <v>65</v>
      </c>
      <c r="C214" s="26">
        <v>0</v>
      </c>
      <c r="D214" s="26">
        <v>0</v>
      </c>
      <c r="E214" s="26">
        <v>0</v>
      </c>
      <c r="F214" s="104"/>
      <c r="G214" s="35"/>
      <c r="N214" s="116"/>
    </row>
    <row r="215" spans="2:14" ht="10.5" hidden="1" customHeight="1">
      <c r="B215" s="25" t="s">
        <v>76</v>
      </c>
      <c r="C215" s="26">
        <v>0</v>
      </c>
      <c r="D215" s="26">
        <v>0</v>
      </c>
      <c r="E215" s="26">
        <v>0</v>
      </c>
      <c r="F215" s="104"/>
      <c r="G215" s="35"/>
      <c r="N215" s="116"/>
    </row>
    <row r="216" spans="2:14" ht="10.5" hidden="1" customHeight="1">
      <c r="B216" s="25" t="s">
        <v>82</v>
      </c>
      <c r="C216" s="26">
        <v>0</v>
      </c>
      <c r="D216" s="26">
        <v>0</v>
      </c>
      <c r="E216" s="26">
        <v>0</v>
      </c>
      <c r="F216" s="104"/>
      <c r="G216" s="35"/>
    </row>
    <row r="217" spans="2:14" ht="10.5" hidden="1" customHeight="1">
      <c r="B217" s="25" t="s">
        <v>80</v>
      </c>
      <c r="C217" s="26">
        <v>0</v>
      </c>
      <c r="D217" s="26">
        <v>0</v>
      </c>
      <c r="E217" s="26">
        <v>0</v>
      </c>
      <c r="F217" s="104"/>
      <c r="G217" s="35"/>
      <c r="N217" s="116"/>
    </row>
    <row r="218" spans="2:14" ht="10.5" hidden="1" customHeight="1">
      <c r="B218" s="25" t="s">
        <v>54</v>
      </c>
      <c r="C218" s="26">
        <v>0</v>
      </c>
      <c r="D218" s="26">
        <v>0</v>
      </c>
      <c r="E218" s="26">
        <v>0</v>
      </c>
      <c r="F218" s="104"/>
      <c r="G218" s="35"/>
      <c r="N218" s="116"/>
    </row>
    <row r="219" spans="2:14" ht="10.5" hidden="1" customHeight="1">
      <c r="B219" s="25" t="s">
        <v>51</v>
      </c>
      <c r="C219" s="26">
        <v>0</v>
      </c>
      <c r="D219" s="26">
        <v>0</v>
      </c>
      <c r="E219" s="26">
        <v>0</v>
      </c>
      <c r="F219" s="104"/>
      <c r="G219" s="35"/>
    </row>
    <row r="220" spans="2:14" ht="10.5" hidden="1" customHeight="1">
      <c r="B220" s="25" t="s">
        <v>46</v>
      </c>
      <c r="C220" s="26">
        <v>0</v>
      </c>
      <c r="D220" s="26">
        <v>0</v>
      </c>
      <c r="E220" s="26">
        <v>0</v>
      </c>
      <c r="F220" s="104"/>
      <c r="G220" s="35"/>
      <c r="N220" s="116"/>
    </row>
    <row r="221" spans="2:14" ht="10.5" hidden="1" customHeight="1">
      <c r="B221" s="25" t="s">
        <v>48</v>
      </c>
      <c r="C221" s="26">
        <v>0</v>
      </c>
      <c r="D221" s="26">
        <v>0</v>
      </c>
      <c r="E221" s="26">
        <v>0</v>
      </c>
      <c r="F221" s="104"/>
      <c r="G221" s="35"/>
      <c r="N221" s="116"/>
    </row>
    <row r="222" spans="2:14" ht="10.5" hidden="1" customHeight="1">
      <c r="B222" s="25" t="s">
        <v>83</v>
      </c>
      <c r="C222" s="26">
        <v>0</v>
      </c>
      <c r="D222" s="26">
        <v>0</v>
      </c>
      <c r="E222" s="26">
        <v>0</v>
      </c>
      <c r="F222" s="104"/>
      <c r="G222" s="35"/>
    </row>
    <row r="223" spans="2:14" ht="10.5" hidden="1" customHeight="1">
      <c r="B223" s="25" t="s">
        <v>58</v>
      </c>
      <c r="C223" s="26">
        <v>0</v>
      </c>
      <c r="D223" s="26">
        <v>0</v>
      </c>
      <c r="E223" s="26">
        <v>0</v>
      </c>
      <c r="F223" s="104"/>
      <c r="G223" s="35"/>
      <c r="N223" s="116"/>
    </row>
    <row r="224" spans="2:14" ht="10.5" hidden="1" customHeight="1">
      <c r="B224" s="25" t="s">
        <v>85</v>
      </c>
      <c r="C224" s="26">
        <v>0</v>
      </c>
      <c r="D224" s="26">
        <v>0</v>
      </c>
      <c r="E224" s="26">
        <v>0</v>
      </c>
      <c r="F224" s="104"/>
      <c r="G224" s="35"/>
      <c r="N224" s="116"/>
    </row>
    <row r="225" spans="2:14" ht="10.5" hidden="1" customHeight="1">
      <c r="B225" s="25" t="s">
        <v>87</v>
      </c>
      <c r="C225" s="26">
        <v>0</v>
      </c>
      <c r="D225" s="26">
        <v>0</v>
      </c>
      <c r="E225" s="26">
        <v>0</v>
      </c>
      <c r="F225" s="104"/>
      <c r="G225" s="35"/>
    </row>
    <row r="226" spans="2:14" ht="10.5" hidden="1" customHeight="1">
      <c r="B226" s="25" t="s">
        <v>81</v>
      </c>
      <c r="C226" s="26">
        <v>0</v>
      </c>
      <c r="D226" s="26">
        <v>0</v>
      </c>
      <c r="E226" s="26">
        <v>0</v>
      </c>
      <c r="F226" s="104"/>
      <c r="G226" s="35"/>
      <c r="N226" s="116"/>
    </row>
    <row r="227" spans="2:14" ht="10.5" hidden="1" customHeight="1">
      <c r="B227" s="25" t="s">
        <v>71</v>
      </c>
      <c r="C227" s="26">
        <v>0</v>
      </c>
      <c r="D227" s="26">
        <v>0</v>
      </c>
      <c r="E227" s="26">
        <v>0</v>
      </c>
      <c r="F227" s="104"/>
      <c r="G227" s="35"/>
    </row>
    <row r="228" spans="2:14" ht="10.5" hidden="1" customHeight="1">
      <c r="B228" s="25" t="s">
        <v>86</v>
      </c>
      <c r="C228" s="26">
        <v>0</v>
      </c>
      <c r="D228" s="26">
        <v>0</v>
      </c>
      <c r="E228" s="26">
        <v>0</v>
      </c>
      <c r="F228" s="104"/>
      <c r="G228" s="35"/>
      <c r="N228" s="116"/>
    </row>
    <row r="229" spans="2:14" ht="10.5" hidden="1" customHeight="1">
      <c r="B229" s="25" t="s">
        <v>59</v>
      </c>
      <c r="C229" s="26">
        <v>0</v>
      </c>
      <c r="D229" s="26">
        <v>0</v>
      </c>
      <c r="E229" s="26">
        <v>0</v>
      </c>
      <c r="F229" s="104"/>
      <c r="G229" s="35"/>
    </row>
    <row r="230" spans="2:14" ht="10.5" hidden="1" customHeight="1">
      <c r="B230" s="25" t="s">
        <v>45</v>
      </c>
      <c r="C230" s="26">
        <v>0</v>
      </c>
      <c r="D230" s="26">
        <v>0</v>
      </c>
      <c r="E230" s="26">
        <v>0</v>
      </c>
      <c r="F230" s="104"/>
      <c r="G230" s="35"/>
      <c r="N230" s="116"/>
    </row>
    <row r="231" spans="2:14" ht="10.5" hidden="1" customHeight="1">
      <c r="B231" s="25" t="s">
        <v>47</v>
      </c>
      <c r="C231" s="26">
        <v>0</v>
      </c>
      <c r="D231" s="26">
        <v>0</v>
      </c>
      <c r="E231" s="26">
        <v>0</v>
      </c>
      <c r="F231" s="104"/>
      <c r="G231" s="35"/>
    </row>
    <row r="232" spans="2:14" ht="10.5" hidden="1" customHeight="1">
      <c r="B232" s="25" t="s">
        <v>73</v>
      </c>
      <c r="C232" s="26">
        <v>0</v>
      </c>
      <c r="D232" s="26">
        <v>0</v>
      </c>
      <c r="E232" s="26">
        <v>0</v>
      </c>
      <c r="F232" s="104"/>
      <c r="G232" s="35"/>
      <c r="N232" s="116"/>
    </row>
    <row r="233" spans="2:14" ht="10.5" hidden="1" customHeight="1">
      <c r="B233" s="25" t="s">
        <v>62</v>
      </c>
      <c r="C233" s="26">
        <v>0</v>
      </c>
      <c r="D233" s="26">
        <v>0</v>
      </c>
      <c r="E233" s="26">
        <v>0</v>
      </c>
      <c r="F233" s="104"/>
      <c r="G233" s="35"/>
    </row>
    <row r="234" spans="2:14" ht="10.5" hidden="1" customHeight="1">
      <c r="B234" s="25" t="s">
        <v>64</v>
      </c>
      <c r="C234" s="26">
        <v>0</v>
      </c>
      <c r="D234" s="26">
        <v>0</v>
      </c>
      <c r="E234" s="26">
        <v>0</v>
      </c>
      <c r="F234" s="104"/>
      <c r="G234" s="35"/>
    </row>
    <row r="235" spans="2:14" ht="10.5" hidden="1" customHeight="1">
      <c r="B235" s="25" t="s">
        <v>72</v>
      </c>
      <c r="C235" s="26">
        <v>0</v>
      </c>
      <c r="D235" s="26">
        <v>0</v>
      </c>
      <c r="E235" s="26">
        <v>0</v>
      </c>
      <c r="F235" s="104"/>
      <c r="G235" s="35"/>
    </row>
    <row r="236" spans="2:14" ht="10.5" hidden="1" customHeight="1">
      <c r="B236" s="25" t="s">
        <v>57</v>
      </c>
      <c r="C236" s="26">
        <v>0</v>
      </c>
      <c r="D236" s="26">
        <v>0</v>
      </c>
      <c r="E236" s="26">
        <v>0</v>
      </c>
      <c r="F236" s="104"/>
      <c r="G236" s="35"/>
    </row>
    <row r="237" spans="2:14" ht="10.5" hidden="1" customHeight="1">
      <c r="B237" s="25" t="s">
        <v>77</v>
      </c>
      <c r="C237" s="26">
        <v>0</v>
      </c>
      <c r="D237" s="26">
        <v>0</v>
      </c>
      <c r="E237" s="26">
        <v>0</v>
      </c>
      <c r="F237" s="104"/>
      <c r="G237" s="35"/>
    </row>
    <row r="238" spans="2:14" ht="10.5" hidden="1" customHeight="1">
      <c r="B238" s="25" t="s">
        <v>75</v>
      </c>
      <c r="C238" s="26">
        <v>0</v>
      </c>
      <c r="D238" s="26">
        <v>0</v>
      </c>
      <c r="E238" s="26">
        <v>0</v>
      </c>
      <c r="F238" s="104"/>
      <c r="G238" s="35"/>
    </row>
    <row r="239" spans="2:14" ht="10.5" hidden="1" customHeight="1">
      <c r="B239" s="25" t="s">
        <v>88</v>
      </c>
      <c r="C239" s="26">
        <v>0</v>
      </c>
      <c r="D239" s="26">
        <v>0</v>
      </c>
      <c r="E239" s="26">
        <v>0</v>
      </c>
      <c r="F239" s="104"/>
      <c r="G239" s="35"/>
    </row>
    <row r="240" spans="2:14" ht="10.5" hidden="1" customHeight="1">
      <c r="B240" s="25" t="s">
        <v>60</v>
      </c>
      <c r="C240" s="26">
        <v>0</v>
      </c>
      <c r="D240" s="26">
        <v>0</v>
      </c>
      <c r="E240" s="26">
        <v>0</v>
      </c>
      <c r="F240" s="104"/>
      <c r="G240" s="35"/>
    </row>
    <row r="241" spans="2:7" ht="10.5" hidden="1" customHeight="1">
      <c r="B241" s="25" t="s">
        <v>70</v>
      </c>
      <c r="C241" s="26">
        <v>0</v>
      </c>
      <c r="D241" s="26">
        <v>0</v>
      </c>
      <c r="E241" s="26">
        <v>0</v>
      </c>
      <c r="F241" s="104"/>
      <c r="G241" s="35"/>
    </row>
    <row r="242" spans="2:7" ht="10.5" hidden="1" customHeight="1">
      <c r="B242" s="25" t="s">
        <v>78</v>
      </c>
      <c r="C242" s="26">
        <v>0</v>
      </c>
      <c r="D242" s="26">
        <v>0</v>
      </c>
      <c r="E242" s="26">
        <v>0</v>
      </c>
      <c r="F242" s="104"/>
      <c r="G242" s="27"/>
    </row>
    <row r="243" spans="2:7" ht="10.5" hidden="1" customHeight="1">
      <c r="B243" s="25" t="s">
        <v>52</v>
      </c>
      <c r="C243" s="26">
        <v>0</v>
      </c>
      <c r="D243" s="26">
        <v>0</v>
      </c>
      <c r="E243" s="26">
        <v>0</v>
      </c>
      <c r="F243" s="104"/>
      <c r="G243" s="27"/>
    </row>
    <row r="244" spans="2:7" ht="10.5" hidden="1" customHeight="1">
      <c r="B244" s="25" t="s">
        <v>63</v>
      </c>
      <c r="C244" s="26">
        <v>0</v>
      </c>
      <c r="D244" s="26">
        <v>0</v>
      </c>
      <c r="E244" s="26">
        <v>0</v>
      </c>
      <c r="F244" s="104"/>
      <c r="G244" s="27"/>
    </row>
    <row r="245" spans="2:7" ht="10.5" hidden="1" customHeight="1">
      <c r="B245" s="25"/>
      <c r="C245" s="26">
        <f>SUM(C213:C244)</f>
        <v>0</v>
      </c>
      <c r="D245" s="26">
        <f>SUM(D213:D244)</f>
        <v>0</v>
      </c>
      <c r="E245" s="26">
        <f>SUM(E213:E244)</f>
        <v>0</v>
      </c>
      <c r="F245" s="104"/>
      <c r="G245" s="27"/>
    </row>
    <row r="246" spans="2:7" ht="10.5" hidden="1" customHeight="1">
      <c r="B246" s="25"/>
      <c r="C246" s="26"/>
      <c r="D246" s="26"/>
      <c r="E246" s="26"/>
      <c r="F246" s="104"/>
      <c r="G246" s="27"/>
    </row>
    <row r="247" spans="2:7" ht="10.5" hidden="1" customHeight="1">
      <c r="B247" s="25" t="s">
        <v>182</v>
      </c>
      <c r="C247" s="26" t="s">
        <v>212</v>
      </c>
      <c r="D247" s="26"/>
      <c r="E247" s="26"/>
      <c r="F247" s="104"/>
      <c r="G247" s="27"/>
    </row>
    <row r="248" spans="2:7" ht="10.5" hidden="1" customHeight="1">
      <c r="B248" s="28" t="s">
        <v>213</v>
      </c>
      <c r="C248" s="26">
        <v>0</v>
      </c>
      <c r="D248" s="26"/>
      <c r="E248" s="26"/>
      <c r="F248" s="104"/>
      <c r="G248" s="27"/>
    </row>
    <row r="249" spans="2:7" ht="10.5" hidden="1" customHeight="1">
      <c r="B249" s="28" t="s">
        <v>214</v>
      </c>
      <c r="C249" s="26">
        <v>0</v>
      </c>
      <c r="D249" s="26"/>
      <c r="E249" s="26"/>
      <c r="F249" s="104"/>
      <c r="G249" s="27"/>
    </row>
    <row r="250" spans="2:7" ht="10.5" hidden="1" customHeight="1">
      <c r="B250" s="28" t="s">
        <v>215</v>
      </c>
      <c r="C250" s="26">
        <v>0</v>
      </c>
      <c r="D250" s="26"/>
      <c r="E250" s="26"/>
      <c r="F250" s="104"/>
      <c r="G250" s="27"/>
    </row>
    <row r="251" spans="2:7" ht="10.5" hidden="1" customHeight="1">
      <c r="B251" s="28" t="s">
        <v>216</v>
      </c>
      <c r="C251" s="26">
        <v>0</v>
      </c>
      <c r="D251" s="26"/>
      <c r="E251" s="26"/>
      <c r="F251" s="104"/>
      <c r="G251" s="27"/>
    </row>
    <row r="252" spans="2:7" ht="10.5" hidden="1" customHeight="1">
      <c r="B252" s="29"/>
      <c r="C252" s="26"/>
      <c r="D252" s="26"/>
      <c r="E252" s="26"/>
      <c r="F252" s="104"/>
      <c r="G252" s="27"/>
    </row>
    <row r="253" spans="2:7" ht="10.5" hidden="1" customHeight="1">
      <c r="B253" s="30" t="s">
        <v>185</v>
      </c>
      <c r="C253" s="26" t="s">
        <v>217</v>
      </c>
      <c r="D253" s="26" t="s">
        <v>218</v>
      </c>
      <c r="E253" s="26"/>
      <c r="F253" s="104"/>
      <c r="G253" s="27"/>
    </row>
    <row r="254" spans="2:7" ht="10.5" hidden="1" customHeight="1">
      <c r="B254" s="30" t="s">
        <v>219</v>
      </c>
      <c r="C254" s="26">
        <v>0</v>
      </c>
      <c r="D254" s="26">
        <v>0</v>
      </c>
      <c r="E254" s="26"/>
      <c r="F254" s="104"/>
      <c r="G254" s="27"/>
    </row>
    <row r="255" spans="2:7" ht="10.5" hidden="1" customHeight="1">
      <c r="B255" s="30" t="s">
        <v>220</v>
      </c>
      <c r="C255" s="26">
        <v>0</v>
      </c>
      <c r="D255" s="26">
        <v>0</v>
      </c>
      <c r="E255" s="26"/>
      <c r="F255" s="104"/>
      <c r="G255" s="27"/>
    </row>
    <row r="256" spans="2:7" ht="10.5" hidden="1" customHeight="1">
      <c r="B256" s="30" t="s">
        <v>221</v>
      </c>
      <c r="C256" s="26">
        <v>0</v>
      </c>
      <c r="D256" s="26">
        <v>0</v>
      </c>
      <c r="E256" s="26"/>
      <c r="F256" s="104"/>
      <c r="G256" s="27"/>
    </row>
    <row r="257" spans="2:17" ht="10.5" hidden="1" customHeight="1">
      <c r="B257" s="30" t="s">
        <v>222</v>
      </c>
      <c r="C257" s="26">
        <v>0</v>
      </c>
      <c r="D257" s="26">
        <v>0</v>
      </c>
      <c r="E257" s="26"/>
      <c r="F257" s="104"/>
      <c r="G257" s="27"/>
    </row>
    <row r="258" spans="2:17" ht="10.5" hidden="1" customHeight="1">
      <c r="B258" s="30" t="s">
        <v>223</v>
      </c>
      <c r="C258" s="26">
        <v>0</v>
      </c>
      <c r="D258" s="26">
        <v>0</v>
      </c>
      <c r="E258" s="26"/>
      <c r="F258" s="104"/>
      <c r="G258" s="27"/>
    </row>
    <row r="259" spans="2:17" ht="10.5" hidden="1" customHeight="1">
      <c r="B259" s="30" t="s">
        <v>224</v>
      </c>
      <c r="C259" s="26">
        <v>0</v>
      </c>
      <c r="D259" s="26">
        <v>0</v>
      </c>
      <c r="E259" s="26"/>
      <c r="F259" s="104"/>
      <c r="G259" s="27"/>
    </row>
    <row r="260" spans="2:17" ht="10.5" hidden="1" customHeight="1">
      <c r="B260" s="30" t="s">
        <v>225</v>
      </c>
      <c r="C260" s="26">
        <v>0</v>
      </c>
      <c r="D260" s="26">
        <v>0</v>
      </c>
      <c r="E260" s="26"/>
      <c r="F260" s="104"/>
      <c r="G260" s="27"/>
    </row>
    <row r="261" spans="2:17" ht="10.5" hidden="1" customHeight="1">
      <c r="B261" s="30" t="s">
        <v>226</v>
      </c>
      <c r="C261" s="26">
        <v>0</v>
      </c>
      <c r="D261" s="26">
        <v>0</v>
      </c>
      <c r="E261" s="26"/>
      <c r="F261" s="104"/>
      <c r="G261" s="27"/>
    </row>
    <row r="262" spans="2:17" ht="10.5" hidden="1" customHeight="1">
      <c r="B262" s="25"/>
      <c r="C262" s="26"/>
      <c r="D262" s="26"/>
      <c r="E262" s="26"/>
      <c r="F262" s="104"/>
      <c r="G262" s="27"/>
    </row>
    <row r="263" spans="2:17" ht="10.5" hidden="1" customHeight="1">
      <c r="B263" s="30" t="s">
        <v>190</v>
      </c>
      <c r="C263" s="26" t="s">
        <v>227</v>
      </c>
      <c r="D263" s="26"/>
      <c r="E263" s="26"/>
      <c r="F263" s="104"/>
      <c r="G263" s="27"/>
    </row>
    <row r="264" spans="2:17" ht="10.5" hidden="1" customHeight="1">
      <c r="B264" s="30" t="s">
        <v>228</v>
      </c>
      <c r="C264" s="26">
        <v>0</v>
      </c>
      <c r="D264" s="26"/>
      <c r="E264" s="26"/>
      <c r="F264" s="104"/>
      <c r="G264" s="27"/>
    </row>
    <row r="265" spans="2:17" ht="10.5" hidden="1" customHeight="1">
      <c r="B265" s="30" t="s">
        <v>229</v>
      </c>
      <c r="C265" s="26">
        <v>0</v>
      </c>
      <c r="D265" s="26"/>
      <c r="E265" s="26"/>
      <c r="F265" s="104"/>
      <c r="G265" s="27"/>
    </row>
    <row r="266" spans="2:17" ht="10.5" hidden="1" customHeight="1">
      <c r="B266" s="30" t="s">
        <v>230</v>
      </c>
      <c r="C266" s="26">
        <v>0</v>
      </c>
      <c r="D266" s="26"/>
      <c r="E266" s="26"/>
      <c r="F266" s="104"/>
      <c r="G266" s="27"/>
    </row>
    <row r="267" spans="2:17" ht="10.5" hidden="1" customHeight="1">
      <c r="B267" s="30" t="s">
        <v>231</v>
      </c>
      <c r="C267" s="26">
        <v>0</v>
      </c>
      <c r="D267" s="26"/>
      <c r="E267" s="26"/>
      <c r="F267" s="104"/>
      <c r="G267" s="27"/>
    </row>
    <row r="268" spans="2:17" ht="10.5" hidden="1" customHeight="1">
      <c r="B268" s="30" t="s">
        <v>232</v>
      </c>
      <c r="C268" s="26">
        <v>0</v>
      </c>
      <c r="D268" s="26"/>
      <c r="E268" s="26"/>
      <c r="F268" s="104"/>
      <c r="G268" s="27"/>
    </row>
    <row r="269" spans="2:17" ht="10.5" hidden="1" customHeight="1">
      <c r="B269" s="30" t="s">
        <v>233</v>
      </c>
      <c r="C269" s="26">
        <v>0</v>
      </c>
      <c r="D269" s="26"/>
      <c r="E269" s="26"/>
      <c r="F269" s="104"/>
      <c r="G269" s="27"/>
    </row>
    <row r="270" spans="2:17" ht="10.5" hidden="1" customHeight="1">
      <c r="B270" s="25"/>
      <c r="C270" s="26"/>
      <c r="D270" s="26"/>
      <c r="E270" s="26"/>
      <c r="F270" s="104"/>
      <c r="G270" s="27"/>
    </row>
    <row r="271" spans="2:17" ht="10.5" hidden="1" customHeight="1">
      <c r="B271" s="31" t="s">
        <v>193</v>
      </c>
      <c r="C271" s="26" t="s">
        <v>234</v>
      </c>
      <c r="D271" s="26"/>
      <c r="E271" s="26"/>
      <c r="F271" s="104"/>
      <c r="G271" s="27"/>
      <c r="M271" s="39" t="s">
        <v>145</v>
      </c>
      <c r="P271" s="116">
        <v>0.83333333333333337</v>
      </c>
      <c r="Q271" s="39" t="s">
        <v>235</v>
      </c>
    </row>
    <row r="272" spans="2:17" ht="10.5" hidden="1" customHeight="1">
      <c r="B272" s="30" t="s">
        <v>236</v>
      </c>
      <c r="C272" s="26">
        <v>0</v>
      </c>
      <c r="D272" s="26"/>
      <c r="E272" s="26"/>
      <c r="F272" s="104"/>
      <c r="G272" s="27"/>
    </row>
    <row r="273" spans="2:7" ht="10.5" hidden="1" customHeight="1">
      <c r="B273" s="30" t="s">
        <v>237</v>
      </c>
      <c r="C273" s="26">
        <v>0</v>
      </c>
      <c r="D273" s="26"/>
      <c r="E273" s="26"/>
      <c r="F273" s="104"/>
      <c r="G273" s="27"/>
    </row>
    <row r="274" spans="2:7" ht="10.5" hidden="1" customHeight="1">
      <c r="B274" s="30" t="s">
        <v>238</v>
      </c>
      <c r="C274" s="26">
        <v>0</v>
      </c>
      <c r="D274" s="26"/>
      <c r="E274" s="26"/>
      <c r="F274" s="104"/>
      <c r="G274" s="27"/>
    </row>
    <row r="275" spans="2:7" ht="10.5" hidden="1" customHeight="1">
      <c r="B275" s="32" t="s">
        <v>239</v>
      </c>
      <c r="C275" s="26">
        <v>0</v>
      </c>
      <c r="D275" s="26"/>
      <c r="E275" s="26"/>
      <c r="F275" s="104"/>
      <c r="G275" s="27"/>
    </row>
    <row r="276" spans="2:7" ht="10.5" hidden="1" customHeight="1">
      <c r="B276" s="30" t="s">
        <v>240</v>
      </c>
      <c r="C276" s="26">
        <v>0</v>
      </c>
      <c r="D276" s="26"/>
      <c r="E276" s="26"/>
      <c r="F276" s="104"/>
      <c r="G276" s="27"/>
    </row>
    <row r="277" spans="2:7" ht="10.5" hidden="1" customHeight="1">
      <c r="B277" s="30" t="s">
        <v>241</v>
      </c>
      <c r="C277" s="26">
        <v>0</v>
      </c>
      <c r="D277" s="26"/>
      <c r="E277" s="26"/>
      <c r="F277" s="104"/>
      <c r="G277" s="27"/>
    </row>
    <row r="278" spans="2:7" ht="10.5" hidden="1" customHeight="1">
      <c r="B278" s="33"/>
      <c r="C278" s="26"/>
      <c r="D278" s="26"/>
      <c r="E278" s="26"/>
      <c r="F278" s="104"/>
      <c r="G278" s="27"/>
    </row>
    <row r="279" spans="2:7" ht="10.5" hidden="1" customHeight="1">
      <c r="B279" s="33" t="s">
        <v>196</v>
      </c>
      <c r="C279" s="26"/>
      <c r="D279" s="26"/>
      <c r="E279" s="26"/>
      <c r="F279" s="104"/>
      <c r="G279" s="27"/>
    </row>
    <row r="280" spans="2:7" ht="10.5" hidden="1" customHeight="1">
      <c r="B280" s="29" t="s">
        <v>242</v>
      </c>
      <c r="C280" s="26">
        <v>0</v>
      </c>
      <c r="D280" s="26"/>
      <c r="E280" s="26"/>
      <c r="F280" s="104"/>
      <c r="G280" s="27"/>
    </row>
    <row r="281" spans="2:7" ht="10.5" hidden="1" customHeight="1">
      <c r="B281" s="34" t="s">
        <v>243</v>
      </c>
      <c r="C281" s="26">
        <v>0</v>
      </c>
      <c r="D281" s="26"/>
      <c r="E281" s="26"/>
      <c r="F281" s="104"/>
      <c r="G281" s="27"/>
    </row>
    <row r="282" spans="2:7" ht="10.5" hidden="1" customHeight="1">
      <c r="B282" s="34" t="s">
        <v>244</v>
      </c>
      <c r="C282" s="26">
        <v>0</v>
      </c>
      <c r="D282" s="26"/>
      <c r="E282" s="26"/>
      <c r="F282" s="104"/>
      <c r="G282" s="27"/>
    </row>
    <row r="283" spans="2:7" ht="10.5" hidden="1" customHeight="1">
      <c r="B283" s="29" t="s">
        <v>245</v>
      </c>
      <c r="C283" s="26">
        <v>0</v>
      </c>
      <c r="D283" s="26"/>
      <c r="E283" s="26"/>
      <c r="F283" s="104"/>
      <c r="G283" s="27"/>
    </row>
    <row r="284" spans="2:7" ht="10.5" hidden="1" customHeight="1">
      <c r="B284" s="29" t="s">
        <v>246</v>
      </c>
      <c r="C284" s="26">
        <v>0</v>
      </c>
      <c r="D284" s="26"/>
      <c r="E284" s="26"/>
      <c r="F284" s="104"/>
      <c r="G284" s="27"/>
    </row>
    <row r="285" spans="2:7" ht="10.5" hidden="1" customHeight="1">
      <c r="B285" s="29"/>
      <c r="C285" s="26">
        <v>0</v>
      </c>
      <c r="D285" s="26"/>
      <c r="E285" s="26"/>
      <c r="F285" s="104"/>
      <c r="G285" s="27"/>
    </row>
    <row r="286" spans="2:7" ht="10.5" hidden="1" customHeight="1">
      <c r="B286" s="33"/>
      <c r="C286" s="26"/>
      <c r="D286" s="26"/>
      <c r="E286" s="26"/>
      <c r="F286" s="104"/>
      <c r="G286" s="27"/>
    </row>
    <row r="287" spans="2:7" ht="10.5" hidden="1" customHeight="1">
      <c r="B287" s="30" t="s">
        <v>190</v>
      </c>
      <c r="C287" s="26" t="s">
        <v>247</v>
      </c>
      <c r="D287" s="26"/>
      <c r="E287" s="26"/>
      <c r="F287" s="104"/>
      <c r="G287" s="27"/>
    </row>
    <row r="288" spans="2:7" ht="10.5" hidden="1" customHeight="1">
      <c r="B288" s="29" t="s">
        <v>248</v>
      </c>
      <c r="C288" s="26">
        <v>0</v>
      </c>
      <c r="D288" s="26"/>
      <c r="E288" s="26"/>
      <c r="F288" s="104"/>
      <c r="G288" s="27"/>
    </row>
    <row r="289" spans="2:7" ht="10.5" hidden="1" customHeight="1">
      <c r="B289" s="29" t="s">
        <v>249</v>
      </c>
      <c r="C289" s="26">
        <v>0</v>
      </c>
      <c r="D289" s="26"/>
      <c r="E289" s="26"/>
      <c r="F289" s="104"/>
      <c r="G289" s="27"/>
    </row>
    <row r="290" spans="2:7" ht="10.5" hidden="1" customHeight="1">
      <c r="B290" s="29" t="s">
        <v>250</v>
      </c>
      <c r="C290" s="26">
        <v>0</v>
      </c>
      <c r="D290" s="26"/>
      <c r="E290" s="26"/>
      <c r="F290" s="104"/>
      <c r="G290" s="27"/>
    </row>
    <row r="291" spans="2:7" ht="10.5" hidden="1" customHeight="1">
      <c r="B291" s="29" t="s">
        <v>251</v>
      </c>
      <c r="C291" s="26">
        <v>0</v>
      </c>
      <c r="D291" s="26"/>
      <c r="E291" s="26"/>
      <c r="F291" s="104"/>
      <c r="G291" s="27"/>
    </row>
    <row r="292" spans="2:7" ht="10.5" hidden="1" customHeight="1">
      <c r="B292" s="29" t="s">
        <v>252</v>
      </c>
      <c r="C292" s="26">
        <v>0</v>
      </c>
      <c r="D292" s="26"/>
      <c r="E292" s="26"/>
      <c r="F292" s="104"/>
      <c r="G292" s="27"/>
    </row>
    <row r="293" spans="2:7" ht="10.5" hidden="1" customHeight="1">
      <c r="B293" s="29" t="s">
        <v>253</v>
      </c>
      <c r="C293" s="26">
        <v>0</v>
      </c>
      <c r="D293" s="26"/>
      <c r="E293" s="26"/>
      <c r="F293" s="104"/>
      <c r="G293" s="27"/>
    </row>
    <row r="294" spans="2:7" ht="10.5" hidden="1" customHeight="1">
      <c r="F294" s="104"/>
    </row>
    <row r="295" spans="2:7" ht="10.5" hidden="1" customHeight="1">
      <c r="B295" s="31" t="s">
        <v>187</v>
      </c>
      <c r="C295" s="39" t="s">
        <v>254</v>
      </c>
      <c r="F295" s="104"/>
    </row>
    <row r="296" spans="2:7" ht="10.5" hidden="1" customHeight="1">
      <c r="B296" s="29" t="s">
        <v>255</v>
      </c>
      <c r="D296" s="35"/>
      <c r="E296" s="27"/>
      <c r="F296" s="104"/>
    </row>
    <row r="297" spans="2:7" ht="10.5" hidden="1" customHeight="1">
      <c r="B297" s="34" t="s">
        <v>256</v>
      </c>
      <c r="F297" s="104"/>
    </row>
    <row r="298" spans="2:7" ht="10.5" hidden="1" customHeight="1">
      <c r="B298" s="29" t="s">
        <v>257</v>
      </c>
      <c r="F298" s="104"/>
    </row>
    <row r="299" spans="2:7" ht="10.5" hidden="1" customHeight="1">
      <c r="B299" s="29" t="s">
        <v>258</v>
      </c>
      <c r="F299" s="108"/>
    </row>
    <row r="300" spans="2:7" ht="10.9" hidden="1" customHeight="1">
      <c r="B300" s="29" t="s">
        <v>259</v>
      </c>
      <c r="F300" s="108"/>
    </row>
    <row r="301" spans="2:7" ht="10.9" hidden="1" customHeight="1">
      <c r="B301" s="29" t="s">
        <v>260</v>
      </c>
      <c r="F301" s="108"/>
    </row>
    <row r="302" spans="2:7" ht="10.9" customHeight="1">
      <c r="F302" s="108"/>
    </row>
    <row r="303" spans="2:7" ht="10.9" customHeight="1">
      <c r="F303" s="108"/>
    </row>
    <row r="304" spans="2:7" ht="10.9" customHeight="1">
      <c r="F304" s="108"/>
    </row>
    <row r="305" spans="6:6" ht="10.9" customHeight="1">
      <c r="F305" s="108"/>
    </row>
    <row r="306" spans="6:6" ht="10.9" customHeight="1">
      <c r="F306" s="108"/>
    </row>
    <row r="307" spans="6:6" ht="10.9" customHeight="1">
      <c r="F307" s="108"/>
    </row>
    <row r="308" spans="6:6" ht="10.9" customHeight="1">
      <c r="F308" s="108"/>
    </row>
    <row r="309" spans="6:6" ht="10.9" customHeight="1">
      <c r="F309" s="108"/>
    </row>
    <row r="310" spans="6:6" ht="10.9" customHeight="1">
      <c r="F310" s="108"/>
    </row>
    <row r="311" spans="6:6" ht="10.9" customHeight="1">
      <c r="F311" s="108"/>
    </row>
    <row r="312" spans="6:6" ht="10.9" customHeight="1">
      <c r="F312" s="108"/>
    </row>
    <row r="313" spans="6:6" ht="10.9" customHeight="1">
      <c r="F313" s="108"/>
    </row>
    <row r="314" spans="6:6" ht="10.9" customHeight="1">
      <c r="F314" s="108"/>
    </row>
    <row r="315" spans="6:6" ht="10.9" customHeight="1">
      <c r="F315" s="108"/>
    </row>
    <row r="316" spans="6:6" ht="10.9" customHeight="1">
      <c r="F316" s="108"/>
    </row>
    <row r="317" spans="6:6" ht="10.9" customHeight="1">
      <c r="F317" s="108"/>
    </row>
    <row r="318" spans="6:6" ht="10.9" customHeight="1">
      <c r="F318" s="108"/>
    </row>
    <row r="319" spans="6:6" ht="10.9" customHeight="1">
      <c r="F319" s="108"/>
    </row>
    <row r="320" spans="6:6" ht="10.9" customHeight="1">
      <c r="F320" s="108"/>
    </row>
    <row r="321" spans="6:6" ht="10.9" customHeight="1">
      <c r="F321" s="108"/>
    </row>
    <row r="322" spans="6:6" ht="10.9" customHeight="1">
      <c r="F322" s="108"/>
    </row>
    <row r="323" spans="6:6" ht="10.9" customHeight="1">
      <c r="F323" s="108"/>
    </row>
    <row r="324" spans="6:6" ht="10.9" customHeight="1">
      <c r="F324" s="108"/>
    </row>
    <row r="325" spans="6:6" ht="10.9" customHeight="1">
      <c r="F325" s="108"/>
    </row>
    <row r="326" spans="6:6" ht="10.9" customHeight="1">
      <c r="F326" s="108"/>
    </row>
    <row r="327" spans="6:6" ht="10.9" customHeight="1">
      <c r="F327" s="108"/>
    </row>
    <row r="328" spans="6:6" ht="10.9" customHeight="1">
      <c r="F328" s="108"/>
    </row>
    <row r="329" spans="6:6" ht="10.9" customHeight="1">
      <c r="F329" s="108"/>
    </row>
    <row r="330" spans="6:6" ht="10.9" customHeight="1">
      <c r="F330" s="108"/>
    </row>
    <row r="331" spans="6:6" ht="10.9" customHeight="1">
      <c r="F331" s="108"/>
    </row>
    <row r="332" spans="6:6" ht="10.9" customHeight="1">
      <c r="F332" s="108"/>
    </row>
    <row r="333" spans="6:6" ht="10.9" customHeight="1">
      <c r="F333" s="108"/>
    </row>
    <row r="334" spans="6:6" ht="10.9" customHeight="1">
      <c r="F334" s="108"/>
    </row>
    <row r="335" spans="6:6" ht="10.9" customHeight="1">
      <c r="F335" s="108"/>
    </row>
    <row r="336" spans="6:6" ht="10.9" customHeight="1">
      <c r="F336" s="108"/>
    </row>
    <row r="337" spans="6:6" ht="10.9" customHeight="1">
      <c r="F337" s="108"/>
    </row>
    <row r="338" spans="6:6" ht="10.9" customHeight="1">
      <c r="F338" s="108"/>
    </row>
    <row r="339" spans="6:6" ht="10.9" customHeight="1">
      <c r="F339" s="108"/>
    </row>
    <row r="340" spans="6:6" ht="10.9" customHeight="1">
      <c r="F340" s="108"/>
    </row>
    <row r="341" spans="6:6" ht="10.9" customHeight="1">
      <c r="F341" s="108"/>
    </row>
    <row r="342" spans="6:6" ht="10.9" customHeight="1">
      <c r="F342" s="108"/>
    </row>
    <row r="343" spans="6:6" ht="10.9" customHeight="1">
      <c r="F343" s="108"/>
    </row>
    <row r="344" spans="6:6" ht="10.9" customHeight="1">
      <c r="F344" s="108"/>
    </row>
    <row r="345" spans="6:6" ht="10.9" customHeight="1">
      <c r="F345" s="108"/>
    </row>
    <row r="346" spans="6:6" ht="10.9" customHeight="1">
      <c r="F346" s="108"/>
    </row>
    <row r="347" spans="6:6" ht="10.9" customHeight="1">
      <c r="F347" s="108"/>
    </row>
    <row r="348" spans="6:6" ht="10.9" customHeight="1">
      <c r="F348" s="108"/>
    </row>
    <row r="349" spans="6:6" ht="10.9" customHeight="1">
      <c r="F349" s="108"/>
    </row>
    <row r="350" spans="6:6" ht="10.9" customHeight="1">
      <c r="F350" s="108"/>
    </row>
    <row r="351" spans="6:6" ht="10.9" customHeight="1">
      <c r="F351" s="108"/>
    </row>
    <row r="352" spans="6:6" ht="10.9" customHeight="1">
      <c r="F352" s="108"/>
    </row>
    <row r="353" spans="6:6" ht="10.9" customHeight="1">
      <c r="F353" s="108"/>
    </row>
    <row r="354" spans="6:6" ht="10.9" customHeight="1">
      <c r="F354" s="108"/>
    </row>
    <row r="355" spans="6:6" ht="10.9" customHeight="1">
      <c r="F355" s="108"/>
    </row>
    <row r="356" spans="6:6" ht="10.9" customHeight="1">
      <c r="F356" s="108"/>
    </row>
    <row r="357" spans="6:6" ht="10.9" customHeight="1">
      <c r="F357" s="108"/>
    </row>
    <row r="358" spans="6:6" ht="10.9" customHeight="1">
      <c r="F358" s="108"/>
    </row>
    <row r="359" spans="6:6" ht="10.9" customHeight="1">
      <c r="F359" s="108"/>
    </row>
    <row r="360" spans="6:6" ht="10.9" customHeight="1">
      <c r="F360" s="108"/>
    </row>
    <row r="361" spans="6:6" ht="10.9" customHeight="1">
      <c r="F361" s="108"/>
    </row>
    <row r="362" spans="6:6" ht="10.9" customHeight="1">
      <c r="F362" s="108"/>
    </row>
    <row r="363" spans="6:6" ht="10.9" customHeight="1">
      <c r="F363" s="108"/>
    </row>
    <row r="364" spans="6:6" ht="10.9" customHeight="1">
      <c r="F364" s="108"/>
    </row>
    <row r="365" spans="6:6" ht="10.9" customHeight="1">
      <c r="F365" s="108"/>
    </row>
    <row r="366" spans="6:6" ht="10.9" customHeight="1">
      <c r="F366" s="108"/>
    </row>
    <row r="367" spans="6:6" ht="10.9" customHeight="1">
      <c r="F367" s="108"/>
    </row>
    <row r="368" spans="6:6" ht="10.9" customHeight="1">
      <c r="F368" s="108"/>
    </row>
    <row r="369" spans="6:6" ht="10.9" customHeight="1">
      <c r="F369" s="108"/>
    </row>
    <row r="370" spans="6:6" ht="10.9" customHeight="1">
      <c r="F370" s="108"/>
    </row>
    <row r="371" spans="6:6" ht="10.9" customHeight="1">
      <c r="F371" s="108"/>
    </row>
    <row r="372" spans="6:6" ht="10.9" customHeight="1">
      <c r="F372" s="108"/>
    </row>
    <row r="373" spans="6:6" ht="10.9" customHeight="1">
      <c r="F373" s="108"/>
    </row>
    <row r="374" spans="6:6" ht="10.9" customHeight="1">
      <c r="F374" s="108"/>
    </row>
    <row r="375" spans="6:6" ht="10.9" customHeight="1">
      <c r="F375" s="108"/>
    </row>
    <row r="376" spans="6:6" ht="10.9" customHeight="1">
      <c r="F376" s="108"/>
    </row>
    <row r="377" spans="6:6" ht="10.9" customHeight="1">
      <c r="F377" s="108"/>
    </row>
    <row r="378" spans="6:6" ht="10.9" customHeight="1">
      <c r="F378" s="108"/>
    </row>
    <row r="379" spans="6:6" ht="10.9" customHeight="1">
      <c r="F379" s="108"/>
    </row>
    <row r="380" spans="6:6" ht="10.9" customHeight="1">
      <c r="F380" s="108"/>
    </row>
    <row r="381" spans="6:6" ht="10.9" customHeight="1">
      <c r="F381" s="108"/>
    </row>
    <row r="382" spans="6:6" ht="10.9" customHeight="1">
      <c r="F382" s="108"/>
    </row>
    <row r="383" spans="6:6" ht="10.9" customHeight="1">
      <c r="F383" s="108"/>
    </row>
    <row r="384" spans="6:6" ht="10.9" customHeight="1">
      <c r="F384" s="108"/>
    </row>
    <row r="385" spans="6:6" ht="10.9" customHeight="1">
      <c r="F385" s="108"/>
    </row>
    <row r="386" spans="6:6" ht="10.9" customHeight="1">
      <c r="F386" s="108"/>
    </row>
    <row r="387" spans="6:6" ht="10.9" customHeight="1">
      <c r="F387" s="108"/>
    </row>
    <row r="388" spans="6:6" ht="10.9" customHeight="1">
      <c r="F388" s="108"/>
    </row>
    <row r="389" spans="6:6" ht="10.9" customHeight="1">
      <c r="F389" s="108"/>
    </row>
    <row r="390" spans="6:6" ht="10.9" customHeight="1">
      <c r="F390" s="108"/>
    </row>
    <row r="391" spans="6:6" ht="10.9" customHeight="1">
      <c r="F391" s="108"/>
    </row>
    <row r="392" spans="6:6" ht="10.9" customHeight="1">
      <c r="F392" s="108"/>
    </row>
    <row r="393" spans="6:6" ht="10.9" customHeight="1">
      <c r="F393" s="108"/>
    </row>
    <row r="394" spans="6:6" ht="10.9" customHeight="1">
      <c r="F394" s="108"/>
    </row>
    <row r="395" spans="6:6" ht="10.9" customHeight="1">
      <c r="F395" s="108"/>
    </row>
    <row r="396" spans="6:6" ht="10.9" customHeight="1">
      <c r="F396" s="108"/>
    </row>
    <row r="397" spans="6:6" ht="10.9" customHeight="1">
      <c r="F397" s="108"/>
    </row>
    <row r="398" spans="6:6" ht="10.9" customHeight="1">
      <c r="F398" s="108"/>
    </row>
    <row r="399" spans="6:6" ht="10.9" customHeight="1">
      <c r="F399" s="108"/>
    </row>
    <row r="400" spans="6:6" ht="10.9" customHeight="1">
      <c r="F400" s="108"/>
    </row>
    <row r="401" spans="6:6" ht="10.9" customHeight="1">
      <c r="F401" s="108"/>
    </row>
    <row r="402" spans="6:6" ht="10.9" customHeight="1">
      <c r="F402" s="108"/>
    </row>
    <row r="403" spans="6:6" ht="10.9" customHeight="1">
      <c r="F403" s="108"/>
    </row>
    <row r="404" spans="6:6" ht="10.9" customHeight="1">
      <c r="F404" s="108"/>
    </row>
    <row r="405" spans="6:6" ht="10.9" customHeight="1">
      <c r="F405" s="108"/>
    </row>
    <row r="406" spans="6:6" ht="10.9" customHeight="1">
      <c r="F406" s="108"/>
    </row>
    <row r="407" spans="6:6" ht="10.9" customHeight="1">
      <c r="F407" s="108"/>
    </row>
    <row r="408" spans="6:6" ht="10.9" customHeight="1">
      <c r="F408" s="108"/>
    </row>
    <row r="409" spans="6:6" ht="10.9" customHeight="1">
      <c r="F409" s="108"/>
    </row>
    <row r="410" spans="6:6" ht="10.9" customHeight="1">
      <c r="F410" s="108"/>
    </row>
    <row r="411" spans="6:6" ht="10.9" customHeight="1">
      <c r="F411" s="108"/>
    </row>
    <row r="412" spans="6:6" ht="10.9" customHeight="1">
      <c r="F412" s="108"/>
    </row>
    <row r="413" spans="6:6" ht="10.9" customHeight="1">
      <c r="F413" s="108"/>
    </row>
    <row r="414" spans="6:6" ht="10.9" customHeight="1">
      <c r="F414" s="108"/>
    </row>
    <row r="415" spans="6:6" ht="10.9" customHeight="1">
      <c r="F415" s="108"/>
    </row>
    <row r="416" spans="6:6" ht="10.9" customHeight="1">
      <c r="F416" s="108"/>
    </row>
    <row r="417" spans="6:6" ht="10.9" customHeight="1">
      <c r="F417" s="108"/>
    </row>
    <row r="418" spans="6:6" ht="10.9" customHeight="1">
      <c r="F418" s="108"/>
    </row>
    <row r="419" spans="6:6" ht="10.9" customHeight="1">
      <c r="F419" s="108"/>
    </row>
    <row r="420" spans="6:6" ht="10.9" customHeight="1">
      <c r="F420" s="108"/>
    </row>
    <row r="421" spans="6:6" ht="10.9" customHeight="1">
      <c r="F421" s="108"/>
    </row>
    <row r="422" spans="6:6" ht="10.9" customHeight="1">
      <c r="F422" s="108"/>
    </row>
    <row r="423" spans="6:6" ht="10.9" customHeight="1">
      <c r="F423" s="108"/>
    </row>
    <row r="424" spans="6:6" ht="10.9" customHeight="1">
      <c r="F424" s="108"/>
    </row>
    <row r="425" spans="6:6" ht="10.9" customHeight="1">
      <c r="F425" s="108"/>
    </row>
    <row r="426" spans="6:6" ht="10.9" customHeight="1">
      <c r="F426" s="108"/>
    </row>
    <row r="427" spans="6:6" ht="10.9" customHeight="1">
      <c r="F427" s="108"/>
    </row>
    <row r="428" spans="6:6" ht="10.9" customHeight="1">
      <c r="F428" s="103"/>
    </row>
    <row r="429" spans="6:6" ht="10.9" customHeight="1">
      <c r="F429" s="103"/>
    </row>
    <row r="430" spans="6:6" ht="10.9" customHeight="1">
      <c r="F430" s="103"/>
    </row>
    <row r="431" spans="6:6" ht="10.9" customHeight="1">
      <c r="F431" s="103"/>
    </row>
    <row r="432" spans="6:6" ht="10.9" customHeight="1">
      <c r="F432" s="103"/>
    </row>
    <row r="433" spans="6:6" ht="10.9" customHeight="1">
      <c r="F433" s="103"/>
    </row>
    <row r="434" spans="6:6" ht="10.9" customHeight="1">
      <c r="F434" s="103"/>
    </row>
    <row r="435" spans="6:6" ht="10.9" customHeight="1">
      <c r="F435" s="103"/>
    </row>
    <row r="436" spans="6:6" ht="10.9" customHeight="1">
      <c r="F436" s="103"/>
    </row>
    <row r="437" spans="6:6" ht="10.9" customHeight="1">
      <c r="F437" s="103"/>
    </row>
    <row r="438" spans="6:6" ht="10.9" customHeight="1">
      <c r="F438" s="103"/>
    </row>
    <row r="439" spans="6:6" ht="10.9" customHeight="1">
      <c r="F439" s="103"/>
    </row>
    <row r="440" spans="6:6" ht="10.9" customHeight="1">
      <c r="F440" s="103"/>
    </row>
    <row r="441" spans="6:6" ht="10.9" customHeight="1">
      <c r="F441" s="103"/>
    </row>
    <row r="442" spans="6:6" ht="10.9" customHeight="1">
      <c r="F442" s="103"/>
    </row>
    <row r="443" spans="6:6" ht="10.9" customHeight="1">
      <c r="F443" s="103"/>
    </row>
    <row r="444" spans="6:6" ht="10.9" customHeight="1">
      <c r="F444" s="103"/>
    </row>
    <row r="445" spans="6:6" ht="10.9" customHeight="1">
      <c r="F445" s="103"/>
    </row>
    <row r="446" spans="6:6" ht="10.9" customHeight="1">
      <c r="F446" s="103"/>
    </row>
    <row r="447" spans="6:6" ht="10.9" customHeight="1">
      <c r="F447" s="103"/>
    </row>
    <row r="448" spans="6:6" ht="10.9" customHeight="1">
      <c r="F448" s="103"/>
    </row>
    <row r="449" spans="6:6" ht="10.9" customHeight="1">
      <c r="F449" s="103"/>
    </row>
    <row r="450" spans="6:6" ht="10.9" customHeight="1">
      <c r="F450" s="103"/>
    </row>
    <row r="451" spans="6:6" ht="10.9" customHeight="1">
      <c r="F451" s="103"/>
    </row>
    <row r="452" spans="6:6" ht="10.9" customHeight="1">
      <c r="F452" s="103"/>
    </row>
    <row r="453" spans="6:6" ht="10.9" customHeight="1">
      <c r="F453" s="103"/>
    </row>
    <row r="454" spans="6:6" ht="10.9" customHeight="1">
      <c r="F454" s="103"/>
    </row>
    <row r="455" spans="6:6" ht="10.9" customHeight="1">
      <c r="F455" s="103"/>
    </row>
    <row r="456" spans="6:6" ht="10.9" customHeight="1">
      <c r="F456" s="103"/>
    </row>
    <row r="457" spans="6:6" ht="10.9" customHeight="1">
      <c r="F457" s="103"/>
    </row>
    <row r="458" spans="6:6" ht="10.9" customHeight="1">
      <c r="F458" s="103"/>
    </row>
    <row r="459" spans="6:6" ht="10.9" customHeight="1">
      <c r="F459" s="103"/>
    </row>
    <row r="460" spans="6:6" ht="10.9" customHeight="1">
      <c r="F460" s="103"/>
    </row>
    <row r="461" spans="6:6" ht="10.9" customHeight="1">
      <c r="F461" s="103"/>
    </row>
    <row r="462" spans="6:6" ht="10.9" customHeight="1">
      <c r="F462" s="103"/>
    </row>
    <row r="463" spans="6:6" ht="10.9" customHeight="1">
      <c r="F463" s="103"/>
    </row>
    <row r="464" spans="6:6" ht="10.9" customHeight="1">
      <c r="F464" s="103"/>
    </row>
    <row r="465" spans="6:6" ht="10.9" customHeight="1">
      <c r="F465" s="103"/>
    </row>
    <row r="466" spans="6:6" ht="10.9" customHeight="1">
      <c r="F466" s="103"/>
    </row>
    <row r="467" spans="6:6" ht="10.9" customHeight="1">
      <c r="F467" s="103"/>
    </row>
    <row r="468" spans="6:6" ht="10.9" customHeight="1">
      <c r="F468" s="103"/>
    </row>
    <row r="469" spans="6:6" ht="10.9" customHeight="1">
      <c r="F469" s="103"/>
    </row>
    <row r="470" spans="6:6" ht="10.9" customHeight="1">
      <c r="F470" s="103"/>
    </row>
    <row r="471" spans="6:6" ht="10.9" customHeight="1">
      <c r="F471" s="103"/>
    </row>
    <row r="472" spans="6:6" ht="10.9" customHeight="1">
      <c r="F472" s="103"/>
    </row>
    <row r="473" spans="6:6" ht="10.9" customHeight="1">
      <c r="F473" s="103"/>
    </row>
    <row r="474" spans="6:6" ht="10.9" customHeight="1">
      <c r="F474" s="103"/>
    </row>
    <row r="475" spans="6:6" ht="10.9" customHeight="1">
      <c r="F475" s="103"/>
    </row>
    <row r="476" spans="6:6" ht="10.9" customHeight="1">
      <c r="F476" s="103"/>
    </row>
    <row r="477" spans="6:6" ht="10.9" customHeight="1">
      <c r="F477" s="103"/>
    </row>
    <row r="478" spans="6:6" ht="10.9" customHeight="1">
      <c r="F478" s="103"/>
    </row>
    <row r="479" spans="6:6" ht="10.9" customHeight="1">
      <c r="F479" s="103"/>
    </row>
    <row r="480" spans="6:6" ht="10.9" customHeight="1">
      <c r="F480" s="103"/>
    </row>
    <row r="481" spans="6:6" ht="10.9" customHeight="1">
      <c r="F481" s="103"/>
    </row>
    <row r="482" spans="6:6" ht="10.9" customHeight="1">
      <c r="F482" s="103"/>
    </row>
    <row r="483" spans="6:6" ht="10.9" customHeight="1">
      <c r="F483" s="103"/>
    </row>
    <row r="484" spans="6:6" ht="10.9" customHeight="1">
      <c r="F484" s="103"/>
    </row>
    <row r="485" spans="6:6" ht="10.9" customHeight="1">
      <c r="F485" s="103"/>
    </row>
    <row r="486" spans="6:6" ht="10.9" customHeight="1">
      <c r="F486" s="103"/>
    </row>
    <row r="487" spans="6:6" ht="10.9" customHeight="1">
      <c r="F487" s="103"/>
    </row>
    <row r="488" spans="6:6" ht="10.9" customHeight="1">
      <c r="F488" s="103"/>
    </row>
    <row r="489" spans="6:6" ht="10.9" customHeight="1">
      <c r="F489" s="103"/>
    </row>
    <row r="490" spans="6:6" ht="10.9" customHeight="1">
      <c r="F490" s="103"/>
    </row>
    <row r="491" spans="6:6" ht="10.9" customHeight="1">
      <c r="F491" s="103"/>
    </row>
    <row r="492" spans="6:6" ht="10.9" customHeight="1">
      <c r="F492" s="103"/>
    </row>
    <row r="493" spans="6:6" ht="10.9" customHeight="1">
      <c r="F493" s="103"/>
    </row>
    <row r="494" spans="6:6" ht="10.9" customHeight="1">
      <c r="F494" s="103"/>
    </row>
    <row r="495" spans="6:6" ht="10.9" customHeight="1">
      <c r="F495" s="103"/>
    </row>
    <row r="496" spans="6:6" ht="10.9" customHeight="1">
      <c r="F496" s="103"/>
    </row>
    <row r="497" spans="6:6" ht="10.9" customHeight="1">
      <c r="F497" s="103"/>
    </row>
    <row r="498" spans="6:6" ht="10.9" customHeight="1">
      <c r="F498" s="103"/>
    </row>
    <row r="499" spans="6:6" ht="10.9" customHeight="1">
      <c r="F499" s="103"/>
    </row>
    <row r="500" spans="6:6" ht="10.9" customHeight="1">
      <c r="F500" s="103"/>
    </row>
    <row r="501" spans="6:6" ht="10.9" customHeight="1">
      <c r="F501" s="103"/>
    </row>
    <row r="502" spans="6:6" ht="10.9" customHeight="1">
      <c r="F502" s="103"/>
    </row>
    <row r="503" spans="6:6" ht="10.9" customHeight="1">
      <c r="F503" s="103"/>
    </row>
    <row r="504" spans="6:6" ht="10.9" customHeight="1">
      <c r="F504" s="103"/>
    </row>
    <row r="505" spans="6:6" ht="10.9" customHeight="1">
      <c r="F505" s="103"/>
    </row>
    <row r="506" spans="6:6" ht="10.9" customHeight="1">
      <c r="F506" s="103"/>
    </row>
    <row r="507" spans="6:6" ht="10.9" customHeight="1">
      <c r="F507" s="103"/>
    </row>
    <row r="508" spans="6:6" ht="10.9" customHeight="1">
      <c r="F508" s="103"/>
    </row>
    <row r="509" spans="6:6" ht="10.9" customHeight="1">
      <c r="F509" s="103"/>
    </row>
    <row r="510" spans="6:6" ht="10.9" customHeight="1">
      <c r="F510" s="103"/>
    </row>
    <row r="511" spans="6:6" ht="10.9" customHeight="1">
      <c r="F511" s="103"/>
    </row>
    <row r="512" spans="6:6" ht="10.9" customHeight="1">
      <c r="F512" s="103"/>
    </row>
    <row r="513" spans="6:6" ht="10.9" customHeight="1">
      <c r="F513" s="103"/>
    </row>
    <row r="514" spans="6:6" ht="10.9" customHeight="1">
      <c r="F514" s="103"/>
    </row>
    <row r="515" spans="6:6" ht="10.9" customHeight="1">
      <c r="F515" s="103"/>
    </row>
    <row r="516" spans="6:6" ht="10.9" customHeight="1">
      <c r="F516" s="103"/>
    </row>
    <row r="517" spans="6:6" ht="10.9" customHeight="1">
      <c r="F517" s="103"/>
    </row>
    <row r="518" spans="6:6" ht="10.9" customHeight="1">
      <c r="F518" s="103"/>
    </row>
    <row r="519" spans="6:6" ht="10.9" customHeight="1">
      <c r="F519" s="103"/>
    </row>
    <row r="520" spans="6:6" ht="10.9" customHeight="1">
      <c r="F520" s="103"/>
    </row>
    <row r="521" spans="6:6" ht="10.9" customHeight="1">
      <c r="F521" s="103"/>
    </row>
    <row r="522" spans="6:6" ht="10.9" customHeight="1">
      <c r="F522" s="103"/>
    </row>
    <row r="523" spans="6:6" ht="10.9" customHeight="1">
      <c r="F523" s="103"/>
    </row>
    <row r="524" spans="6:6" ht="10.9" customHeight="1">
      <c r="F524" s="103"/>
    </row>
    <row r="525" spans="6:6" ht="10.9" customHeight="1">
      <c r="F525" s="103"/>
    </row>
    <row r="526" spans="6:6" ht="10.9" customHeight="1">
      <c r="F526" s="103"/>
    </row>
    <row r="527" spans="6:6" ht="10.9" customHeight="1">
      <c r="F527" s="103"/>
    </row>
    <row r="528" spans="6:6" ht="10.9" customHeight="1">
      <c r="F528" s="103"/>
    </row>
    <row r="529" spans="6:6" ht="10.9" customHeight="1">
      <c r="F529" s="103"/>
    </row>
    <row r="530" spans="6:6" ht="10.9" customHeight="1">
      <c r="F530" s="103"/>
    </row>
    <row r="531" spans="6:6" ht="10.9" customHeight="1">
      <c r="F531" s="103"/>
    </row>
    <row r="532" spans="6:6" ht="10.9" customHeight="1">
      <c r="F532" s="103"/>
    </row>
    <row r="533" spans="6:6" ht="10.9" customHeight="1">
      <c r="F533" s="103"/>
    </row>
    <row r="534" spans="6:6" ht="10.9" customHeight="1">
      <c r="F534" s="103"/>
    </row>
    <row r="535" spans="6:6" ht="10.9" customHeight="1">
      <c r="F535" s="103"/>
    </row>
    <row r="536" spans="6:6" ht="10.9" customHeight="1">
      <c r="F536" s="103"/>
    </row>
    <row r="537" spans="6:6" ht="10.9" customHeight="1">
      <c r="F537" s="103"/>
    </row>
    <row r="538" spans="6:6" ht="10.9" customHeight="1">
      <c r="F538" s="103"/>
    </row>
    <row r="539" spans="6:6" ht="10.9" customHeight="1">
      <c r="F539" s="103"/>
    </row>
    <row r="540" spans="6:6" ht="10.9" customHeight="1">
      <c r="F540" s="103"/>
    </row>
    <row r="541" spans="6:6" ht="10.9" customHeight="1">
      <c r="F541" s="103"/>
    </row>
    <row r="542" spans="6:6" ht="10.9" customHeight="1">
      <c r="F542" s="103"/>
    </row>
    <row r="543" spans="6:6" ht="10.9" customHeight="1">
      <c r="F543" s="103"/>
    </row>
  </sheetData>
  <sortState xmlns:xlrd2="http://schemas.microsoft.com/office/spreadsheetml/2017/richdata2" ref="E16:E47">
    <sortCondition ref="E16:E47"/>
  </sortState>
  <conditionalFormatting sqref="F150 F100:F103 F89:F90 F105:F122">
    <cfRule type="cellIs" dxfId="8" priority="4" stopIfTrue="1" operator="equal">
      <formula>$L93</formula>
    </cfRule>
  </conditionalFormatting>
  <conditionalFormatting sqref="F164:F165 F159:F162 F99 F63:F65">
    <cfRule type="cellIs" dxfId="7" priority="11" stopIfTrue="1" operator="equal">
      <formula>$L63</formula>
    </cfRule>
  </conditionalFormatting>
  <conditionalFormatting sqref="F91 F96:F98 F93:F94">
    <cfRule type="cellIs" dxfId="6" priority="13" stopIfTrue="1" operator="equal">
      <formula>$L105</formula>
    </cfRule>
  </conditionalFormatting>
  <conditionalFormatting sqref="F104">
    <cfRule type="cellIs" dxfId="5" priority="14" stopIfTrue="1" operator="equal">
      <formula>$L154</formula>
    </cfRule>
  </conditionalFormatting>
  <conditionalFormatting sqref="F83:F88 F80:F81 F66:F78">
    <cfRule type="cellIs" dxfId="4" priority="16" stopIfTrue="1" operator="equal">
      <formula>#REF!</formula>
    </cfRule>
  </conditionalFormatting>
  <conditionalFormatting sqref="F153">
    <cfRule type="cellIs" dxfId="3" priority="3" stopIfTrue="1" operator="equal">
      <formula>$L157</formula>
    </cfRule>
  </conditionalFormatting>
  <conditionalFormatting sqref="F123:F125">
    <cfRule type="cellIs" dxfId="2" priority="18" stopIfTrue="1" operator="equal">
      <formula>$L143</formula>
    </cfRule>
  </conditionalFormatting>
  <conditionalFormatting sqref="F127:F138">
    <cfRule type="cellIs" dxfId="1" priority="1" stopIfTrue="1" operator="equal">
      <formula>$L131</formula>
    </cfRule>
  </conditionalFormatting>
  <conditionalFormatting sqref="F139:F141">
    <cfRule type="cellIs" dxfId="0" priority="2" stopIfTrue="1" operator="equal">
      <formula>$L159</formula>
    </cfRule>
  </conditionalFormatting>
  <dataValidations count="19">
    <dataValidation allowBlank="1" showInputMessage="1" showErrorMessage="1" sqref="B271 F178 F170:F171 A56:C56 A51:C52 A54:C54 A37:C44 A46:C49" xr:uid="{00000000-0002-0000-0000-000000000000}"/>
    <dataValidation type="textLength" showInputMessage="1" showErrorMessage="1" errorTitle="Ändra inte här!" error="Det är i kolumn ett du ska ändra." promptTitle="Här kan du inte ändra" sqref="I13:I16 I21:I60" xr:uid="{00000000-0002-0000-0000-000001000000}">
      <formula1>127</formula1>
      <formula2>127</formula2>
    </dataValidation>
    <dataValidation type="list" allowBlank="1" showInputMessage="1" showErrorMessage="1" sqref="F69:F70" xr:uid="{00000000-0002-0000-0000-000002000000}">
      <formula1>$E$201:$E$205</formula1>
    </dataValidation>
    <dataValidation type="list" allowBlank="1" showInputMessage="1" showErrorMessage="1" sqref="F67:F68" xr:uid="{00000000-0002-0000-0000-000003000000}">
      <formula1>$D$201:$D$205</formula1>
    </dataValidation>
    <dataValidation type="list" allowBlank="1" showInputMessage="1" showErrorMessage="1" sqref="F172" xr:uid="{00000000-0002-0000-0000-000005000000}">
      <formula1>$B$271:$B$277</formula1>
    </dataValidation>
    <dataValidation type="list" allowBlank="1" showInputMessage="1" showErrorMessage="1" sqref="F163" xr:uid="{00000000-0002-0000-0000-000006000000}">
      <formula1>$B$253:$B$261</formula1>
    </dataValidation>
    <dataValidation type="list" allowBlank="1" showInputMessage="1" showErrorMessage="1" sqref="F169" xr:uid="{00000000-0002-0000-0000-000007000000}">
      <formula1>$B$263:$B$269</formula1>
    </dataValidation>
    <dataValidation type="list" allowBlank="1" showInputMessage="1" showErrorMessage="1" sqref="F160" xr:uid="{00000000-0002-0000-0000-000008000000}">
      <formula1>$B$247:$B$251</formula1>
    </dataValidation>
    <dataValidation type="list" allowBlank="1" showInputMessage="1" showErrorMessage="1" sqref="F77:F78" xr:uid="{00000000-0002-0000-0000-000009000000}">
      <formula1>$E$206:$E$210</formula1>
    </dataValidation>
    <dataValidation type="list" allowBlank="1" showInputMessage="1" showErrorMessage="1" sqref="F75:F76" xr:uid="{00000000-0002-0000-0000-00000A000000}">
      <formula1>$D$206:$D$210</formula1>
    </dataValidation>
    <dataValidation type="list" allowBlank="1" showInputMessage="1" showErrorMessage="1" sqref="F73:F74" xr:uid="{00000000-0002-0000-0000-00000B000000}">
      <formula1>$C$206:$C$210</formula1>
    </dataValidation>
    <dataValidation type="list" allowBlank="1" showInputMessage="1" showErrorMessage="1" sqref="F71:F72" xr:uid="{00000000-0002-0000-0000-00000C000000}">
      <formula1>$B$206:$B$210</formula1>
    </dataValidation>
    <dataValidation type="list" allowBlank="1" showInputMessage="1" showErrorMessage="1" sqref="F65:F66" xr:uid="{00000000-0002-0000-0000-00000D000000}">
      <formula1>$C$201:$C$205</formula1>
    </dataValidation>
    <dataValidation type="list" allowBlank="1" showInputMessage="1" showErrorMessage="1" sqref="F63:F64" xr:uid="{00000000-0002-0000-0000-00000E000000}">
      <formula1>$B$201:$B$205</formula1>
    </dataValidation>
    <dataValidation type="list" allowBlank="1" showInputMessage="1" showErrorMessage="1" sqref="F13:F60" xr:uid="{00000000-0002-0000-0000-00000F000000}">
      <formula1>$B$196:$B$199</formula1>
    </dataValidation>
    <dataValidation type="list" allowBlank="1" showInputMessage="1" showErrorMessage="1" sqref="F179" xr:uid="{00000000-0002-0000-0000-000010000000}">
      <formula1>$B$287:$B$293</formula1>
    </dataValidation>
    <dataValidation type="list" allowBlank="1" showInputMessage="1" showErrorMessage="1" sqref="F176" xr:uid="{00000000-0002-0000-0000-000011000000}">
      <formula1>$B$279:$B$284</formula1>
    </dataValidation>
    <dataValidation type="list" allowBlank="1" showInputMessage="1" showErrorMessage="1" sqref="F150 F118:F119 F100:F103 F83:F90 F134" xr:uid="{00000000-0002-0000-0000-000012000000}">
      <formula1>$B$212:$B$244</formula1>
    </dataValidation>
    <dataValidation type="list" allowBlank="1" showInputMessage="1" showErrorMessage="1" sqref="F166" xr:uid="{00000000-0002-0000-0000-000013000000}">
      <formula1>$B$295:$B$301</formula1>
    </dataValidation>
  </dataValidations>
  <pageMargins left="0.59055118110236227" right="0.59055118110236227" top="0.98425196850393704" bottom="0.98425196850393704" header="0.51181102362204722" footer="0.51181102362204722"/>
  <pageSetup paperSize="9"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Formulär</vt:lpstr>
    </vt:vector>
  </TitlesOfParts>
  <Manager/>
  <Company>fms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Mattias</dc:creator>
  <cp:keywords/>
  <dc:description/>
  <cp:lastModifiedBy>Martin Hunhammar</cp:lastModifiedBy>
  <cp:revision/>
  <dcterms:created xsi:type="dcterms:W3CDTF">2002-04-23T08:59:58Z</dcterms:created>
  <dcterms:modified xsi:type="dcterms:W3CDTF">2022-11-15T17:30:27Z</dcterms:modified>
  <cp:category/>
  <cp:contentStatus/>
</cp:coreProperties>
</file>